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upo\OneDrive\Escritorio\COORDINACIÓN DE PROYECTOS\"/>
    </mc:Choice>
  </mc:AlternateContent>
  <xr:revisionPtr revIDLastSave="0" documentId="13_ncr:1_{3E0E32DF-A389-4002-8534-4249C1A08999}" xr6:coauthVersionLast="47" xr6:coauthVersionMax="47" xr10:uidLastSave="{00000000-0000-0000-0000-000000000000}"/>
  <bookViews>
    <workbookView xWindow="-120" yWindow="-120" windowWidth="33840" windowHeight="20520" tabRatio="500" activeTab="1" xr2:uid="{00000000-000D-0000-FFFF-FFFF00000000}"/>
  </bookViews>
  <sheets>
    <sheet name="DASHBOARD" sheetId="1" r:id="rId1"/>
    <sheet name="CURSADO-INGRESADO Q4" sheetId="2" r:id="rId2"/>
    <sheet name="RESUMEN" sheetId="3" r:id="rId3"/>
    <sheet name="Hoja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52" i="2" l="1"/>
  <c r="T51" i="2"/>
  <c r="Q13" i="2"/>
  <c r="C17" i="4"/>
  <c r="C9" i="4"/>
  <c r="C8" i="4"/>
  <c r="Q52" i="2"/>
  <c r="Q51" i="2"/>
  <c r="B30" i="2"/>
  <c r="E30" i="2"/>
  <c r="T58" i="2"/>
  <c r="T30" i="2"/>
  <c r="T33" i="2" s="1"/>
  <c r="T55" i="2" l="1"/>
  <c r="T59" i="2" s="1"/>
  <c r="T60" i="2"/>
  <c r="E49" i="2" l="1"/>
  <c r="B41" i="2"/>
  <c r="B49" i="2"/>
  <c r="B52" i="2" l="1"/>
  <c r="Q58" i="2"/>
  <c r="H58" i="2" l="1"/>
  <c r="B4" i="3" s="1"/>
  <c r="H55" i="2"/>
  <c r="B16" i="3"/>
  <c r="N52" i="2"/>
  <c r="K52" i="2"/>
  <c r="N51" i="2"/>
  <c r="H51" i="2"/>
  <c r="H59" i="2" s="1"/>
  <c r="E41" i="2"/>
  <c r="I18" i="1" s="1"/>
  <c r="K39" i="2"/>
  <c r="K51" i="2" s="1"/>
  <c r="Q30" i="2"/>
  <c r="H30" i="2"/>
  <c r="H60" i="2" s="1"/>
  <c r="B15" i="3"/>
  <c r="B14" i="3"/>
  <c r="K9" i="2"/>
  <c r="K30" i="2" s="1"/>
  <c r="N4" i="2"/>
  <c r="N30" i="2" s="1"/>
  <c r="Q60" i="2" l="1"/>
  <c r="D18" i="1" s="1"/>
  <c r="C18" i="1"/>
  <c r="N55" i="2"/>
  <c r="N59" i="2" s="1"/>
  <c r="E17" i="1" s="1"/>
  <c r="E15" i="1"/>
  <c r="B10" i="1"/>
  <c r="B6" i="1"/>
  <c r="B17" i="3"/>
  <c r="I15" i="1"/>
  <c r="Q55" i="2"/>
  <c r="Q59" i="2" s="1"/>
  <c r="E18" i="1" s="1"/>
  <c r="D4" i="3"/>
  <c r="K55" i="2"/>
  <c r="K59" i="2" s="1"/>
  <c r="E16" i="1" s="1"/>
  <c r="N60" i="2"/>
  <c r="N33" i="2"/>
  <c r="N58" i="2" s="1"/>
  <c r="C4" i="3"/>
  <c r="D15" i="1"/>
  <c r="B8" i="1"/>
  <c r="K33" i="2"/>
  <c r="K58" i="2" s="1"/>
  <c r="K60" i="2"/>
  <c r="I16" i="1"/>
  <c r="I17" i="1"/>
  <c r="Q33" i="2"/>
  <c r="C15" i="1"/>
  <c r="C7" i="3" l="1"/>
  <c r="J8" i="1"/>
  <c r="H10" i="1"/>
  <c r="D6" i="3"/>
  <c r="B11" i="1"/>
  <c r="D10" i="1"/>
  <c r="J10" i="1"/>
  <c r="D7" i="3"/>
  <c r="D5" i="3"/>
  <c r="E19" i="1"/>
  <c r="B6" i="3"/>
  <c r="C17" i="1"/>
  <c r="H6" i="1"/>
  <c r="E4" i="3"/>
  <c r="B5" i="3"/>
  <c r="C16" i="1"/>
  <c r="D6" i="1"/>
  <c r="F15" i="1"/>
  <c r="J11" i="1"/>
  <c r="F18" i="1"/>
  <c r="B7" i="3"/>
  <c r="E7" i="3" s="1"/>
  <c r="D8" i="1"/>
  <c r="C5" i="3"/>
  <c r="D16" i="1"/>
  <c r="C6" i="3"/>
  <c r="D17" i="1"/>
  <c r="H8" i="1"/>
  <c r="D10" i="3" l="1"/>
  <c r="D19" i="1"/>
  <c r="C10" i="3"/>
  <c r="E5" i="3"/>
  <c r="B10" i="3"/>
  <c r="C19" i="1"/>
  <c r="D11" i="1"/>
  <c r="H11" i="1"/>
  <c r="F16" i="1"/>
  <c r="F17" i="1"/>
  <c r="E6" i="3"/>
  <c r="F19" i="1" l="1"/>
  <c r="E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3" authorId="0" shapeId="0" xr:uid="{00000000-0006-0000-0100-000002000000}">
      <text>
        <r>
          <rPr>
            <sz val="10"/>
            <rFont val="Arial"/>
            <family val="2"/>
          </rPr>
          <t>Q4 Ingenieros:
FUE FACTORIZADO</t>
        </r>
      </text>
    </comment>
    <comment ref="Q48" authorId="0" shapeId="0" xr:uid="{00000000-0006-0000-0100-000003000000}">
      <text>
        <r>
          <rPr>
            <sz val="10"/>
            <rFont val="Arial"/>
            <family val="2"/>
          </rPr>
          <t>Q4 Ingenieros:
FUE FACTORIZADO</t>
        </r>
      </text>
    </comment>
  </commentList>
</comments>
</file>

<file path=xl/sharedStrings.xml><?xml version="1.0" encoding="utf-8"?>
<sst xmlns="http://schemas.openxmlformats.org/spreadsheetml/2006/main" count="271" uniqueCount="160">
  <si>
    <t>⚙  CONTROL DE CURSADO E INGRESOS · ÁREA INGENIERÍA  ·  Q4 2026</t>
  </si>
  <si>
    <t>Última actualización: Abril 2026</t>
  </si>
  <si>
    <t>ENERO</t>
  </si>
  <si>
    <t>FEBRERO</t>
  </si>
  <si>
    <t>MARZO</t>
  </si>
  <si>
    <t>ABRIL</t>
  </si>
  <si>
    <t>META</t>
  </si>
  <si>
    <t>FACTURADO</t>
  </si>
  <si>
    <t>INGRESO</t>
  </si>
  <si>
    <t>RESUMEN ACUMULADO Q4</t>
  </si>
  <si>
    <t>META FACTURADA</t>
  </si>
  <si>
    <t>FACTURADO REAL</t>
  </si>
  <si>
    <t>INGRESO CAJA</t>
  </si>
  <si>
    <t>EFICIENCIA</t>
  </si>
  <si>
    <t>CUENTAS X COBRAR</t>
  </si>
  <si>
    <t>MONTO</t>
  </si>
  <si>
    <t>Enero</t>
  </si>
  <si>
    <t>No Facturado (público)</t>
  </si>
  <si>
    <t>Febrero</t>
  </si>
  <si>
    <t>Facturado / No Cobrado</t>
  </si>
  <si>
    <t>Marzo</t>
  </si>
  <si>
    <t>Boletas por Cursar</t>
  </si>
  <si>
    <t>Abril</t>
  </si>
  <si>
    <t>Prox. a Facturar</t>
  </si>
  <si>
    <t>TOTAL Q4</t>
  </si>
  <si>
    <t>PÚBLICOS FACTURADOS / NO PROYECTADOS</t>
  </si>
  <si>
    <t xml:space="preserve"> FACTURADO ENERO 2026</t>
  </si>
  <si>
    <t xml:space="preserve"> FACTURADO FEBRERO 2026</t>
  </si>
  <si>
    <t xml:space="preserve"> FACTURADO MARZO 2026</t>
  </si>
  <si>
    <t xml:space="preserve"> FACTURADO ABRIL 2026</t>
  </si>
  <si>
    <t>PROYECTO</t>
  </si>
  <si>
    <t>MONTO A RECIBIR</t>
  </si>
  <si>
    <t>MONTO CURSADO</t>
  </si>
  <si>
    <t>093. EP N°3 Peumo</t>
  </si>
  <si>
    <t>090. EP N°2 Parque Tobalaba LRN</t>
  </si>
  <si>
    <t>149. EP N°3 Plaza de Armas SFD</t>
  </si>
  <si>
    <t>224. EP N°2 Ciclovia Colina</t>
  </si>
  <si>
    <t>223. EP N°2 Smapa Maipú</t>
  </si>
  <si>
    <t>076. EP Final Quillota</t>
  </si>
  <si>
    <t>057. EP N°4 Circuito Vial, EL Tabo</t>
  </si>
  <si>
    <t>182. EP N°3 UV 25 Conchalí</t>
  </si>
  <si>
    <t>223. EP N°1 Smapa Maipú</t>
  </si>
  <si>
    <t>222. EP N°2 Veredas Talagante</t>
  </si>
  <si>
    <t>222. EP N°3 Veredas Talagante</t>
  </si>
  <si>
    <t>009. EP N°2 Aprobación LC</t>
  </si>
  <si>
    <t>090. EP N°2 Valenzuela Puelma LRN</t>
  </si>
  <si>
    <t>946. EPN° 3 Veredas 18 Septiembre SFD</t>
  </si>
  <si>
    <t>090. EP N°2 Ema Valderrama , LRN</t>
  </si>
  <si>
    <t>225. EP N°2 El Zorro Lo Barnechea</t>
  </si>
  <si>
    <t>009. EP N°3 Entrega Antecedentes LC</t>
  </si>
  <si>
    <t>098. EP N°2 Parque Tobalaba LRN</t>
  </si>
  <si>
    <t>225. EP N°1 El Zorro Lo Barnechea</t>
  </si>
  <si>
    <t>191. EP N°3 Loteo Alvaro Casanova, PÑL</t>
  </si>
  <si>
    <t>069. EP N°5 G8 y G10, San Antonio</t>
  </si>
  <si>
    <t>010. EP N°2 Villa Paraíso</t>
  </si>
  <si>
    <t>188. EP N°2 Sendas 7 y 8 Lo Barnechea</t>
  </si>
  <si>
    <t>211. EP N°2 Adicional Holdco</t>
  </si>
  <si>
    <t>191. EP N°3 Señalización Loteo A.Casanova, PÑL</t>
  </si>
  <si>
    <t>226. EP N°1 IMIV Intermedio CV Trading</t>
  </si>
  <si>
    <t>010. EP N°3 Villa Paraíso</t>
  </si>
  <si>
    <t>210. EP N°1 Triángulo El Tabo</t>
  </si>
  <si>
    <t>211. EP N°2 Holdco</t>
  </si>
  <si>
    <t>203. EP N°3 IMIV Melipilla</t>
  </si>
  <si>
    <t>205. EP N°2 Ingreso MOP, Quisco</t>
  </si>
  <si>
    <t>212. EP N°2 Machalí ( 50% Ingreso SERVIU)</t>
  </si>
  <si>
    <t>210. EP N°2 Triángulo El Tabo</t>
  </si>
  <si>
    <t>222. EP N°1 Veredas Ochagavia Talagante</t>
  </si>
  <si>
    <t>221. EP N°1 La Pintana</t>
  </si>
  <si>
    <t>224. EP N°1 Ciclovia Colina</t>
  </si>
  <si>
    <t>221. EP N°2 La Pintana</t>
  </si>
  <si>
    <t>219. EPN° 2 Taller inofensivo</t>
  </si>
  <si>
    <t>TOTAL  NO FACTURADO</t>
  </si>
  <si>
    <t>TOTAL</t>
  </si>
  <si>
    <t>PÚBLICOS PROXIMOS A FACTURAR/ NO PROYECTADOS</t>
  </si>
  <si>
    <t>INGRESO RECIBIDO ENERO 2026</t>
  </si>
  <si>
    <t>INGRESO RECIBIDO FEBRERO 2026</t>
  </si>
  <si>
    <t>INGRESO RECIBIDO MARZO 2026</t>
  </si>
  <si>
    <t>INGRESO RECIBIDO ABRIL 2026</t>
  </si>
  <si>
    <t>MONTO RECIBIDO</t>
  </si>
  <si>
    <t>189. Monografías R5</t>
  </si>
  <si>
    <t>TOTAL NO PAGADO NI FACTURADO</t>
  </si>
  <si>
    <t>201. Monografías R59-Q</t>
  </si>
  <si>
    <t>217. Rotura estación central</t>
  </si>
  <si>
    <t>182. UV V5 Conchalí</t>
  </si>
  <si>
    <t>219. Taller Inofensivo</t>
  </si>
  <si>
    <t>224. Ciclovia San Alfonso</t>
  </si>
  <si>
    <t>BOLETAS POR CURSAR</t>
  </si>
  <si>
    <t>PRIVADOS RECIBIDOS</t>
  </si>
  <si>
    <t>PÚBLICO RECIBIDO</t>
  </si>
  <si>
    <t>TOTAL INGRESOS</t>
  </si>
  <si>
    <t>RESUMEN</t>
  </si>
  <si>
    <t>TOTAL META FACTURADO</t>
  </si>
  <si>
    <t>TOTAL INGRESO (CAJA)</t>
  </si>
  <si>
    <t>TOTAL FACTURADO</t>
  </si>
  <si>
    <t>RESUMEN TRIMESTRAL Q4 · INGENIERÍA</t>
  </si>
  <si>
    <t>MES</t>
  </si>
  <si>
    <t>META FACTURADA ($)</t>
  </si>
  <si>
    <t>FACTURADO REAL ($)</t>
  </si>
  <si>
    <t>INGRESO CAJA ($)</t>
  </si>
  <si>
    <t>EFICIENCIA (%)</t>
  </si>
  <si>
    <t>Mayo</t>
  </si>
  <si>
    <t>Junio</t>
  </si>
  <si>
    <t>CUENTAS POR COBRAR · PENDIENTES</t>
  </si>
  <si>
    <t>CONCEPTO</t>
  </si>
  <si>
    <t>MONTO ($)</t>
  </si>
  <si>
    <t>Total NO Facturado (Pendiente pública)</t>
  </si>
  <si>
    <t>Total Facturado / NO Cobrado</t>
  </si>
  <si>
    <t>Próximos a Facturar (no proyect.)</t>
  </si>
  <si>
    <t>PÚBLICOS PENDIENTES A FACTURAR</t>
  </si>
  <si>
    <t>045. EP N°4 San Fernando</t>
  </si>
  <si>
    <t>069. EP San Antonio Saldo restante</t>
  </si>
  <si>
    <t>204. EP N°2 Acceso Pichilemu Ingreso MOP</t>
  </si>
  <si>
    <t>PRIVADOS PENDIENTES A FACTURAR</t>
  </si>
  <si>
    <t>TOTAL NO FACTURADO</t>
  </si>
  <si>
    <t>PRIVADOS PRÓXIMOS A FACTURAR/ NO PROYECTADOS</t>
  </si>
  <si>
    <t>TOTAL FACTURADO NO PAGADO</t>
  </si>
  <si>
    <t>TOTAL PENDIENTE PÚBLICOS</t>
  </si>
  <si>
    <t>TOTAL BOLETAS CURSADAS</t>
  </si>
  <si>
    <t xml:space="preserve"> FACTURADO MAYO 2026</t>
  </si>
  <si>
    <t>204. EP N°3 Aprobación Pichilemu  MOP</t>
  </si>
  <si>
    <t>205. EP N°3 Aprobación El Quisco MOP, SERVIU</t>
  </si>
  <si>
    <t>189. Monografías Ruta 5EP N°3 - Sub Sector B</t>
  </si>
  <si>
    <t>189. Monografías Ruta 5EP N°3 - Sub Sector C</t>
  </si>
  <si>
    <t>189. Monografías Ruta 5EP N°3 - Sub Sector D</t>
  </si>
  <si>
    <t>189. Monografías Ruta 5EP N°3 - Sub Sector E</t>
  </si>
  <si>
    <t xml:space="preserve">206. EP N°3 Aprobación Lago Ranco </t>
  </si>
  <si>
    <t>208. EP N°3 Aprobación Tierra Amarilla</t>
  </si>
  <si>
    <t>209. EP N°2 Mitigaciones Electricas Maipu</t>
  </si>
  <si>
    <t>210. EP N°3 Aprobación El Triángulo</t>
  </si>
  <si>
    <t>211. EP N°3 Holdco Aprobación</t>
  </si>
  <si>
    <t>212. EP N°3 Machali</t>
  </si>
  <si>
    <t>212. EP N°4 Machali</t>
  </si>
  <si>
    <t>215. EP N°1 DS N°50</t>
  </si>
  <si>
    <t>215. EP N°2 DS N°50</t>
  </si>
  <si>
    <t>215. EP N°3 DS N°50</t>
  </si>
  <si>
    <t>215. EP N°4 DS N°50</t>
  </si>
  <si>
    <t>218. EP N°3 Aceras Pedro Prado , la Pintana</t>
  </si>
  <si>
    <t>223. EP N°3 SMAPA</t>
  </si>
  <si>
    <t>224. EP N°3 Ciclovia Colina</t>
  </si>
  <si>
    <t>224. EP N°4 Ciclovia Colina</t>
  </si>
  <si>
    <t>224. EP N°5 Ciclovia Colina</t>
  </si>
  <si>
    <t>225. EP N°3 El Zorro</t>
  </si>
  <si>
    <t>226. EP N°2 IMIV Acceso CV Trading</t>
  </si>
  <si>
    <t>226. EP N°3 IMIV Acceso CV Trading</t>
  </si>
  <si>
    <t>227. EP N° 1 Y N°2 Vuelo Dron</t>
  </si>
  <si>
    <t>227. EP N°3 Vuelo Dron</t>
  </si>
  <si>
    <t>063. EP Parcializado Osorno</t>
  </si>
  <si>
    <t>063. EP N°3 Osorno saldo restante</t>
  </si>
  <si>
    <t>TOTAL NO FACTURADO PERO PROYECTABLE</t>
  </si>
  <si>
    <t>INGRESO RECIBIDO MAYO 2026</t>
  </si>
  <si>
    <t xml:space="preserve">007. EP N°3 Diego de Almagro </t>
  </si>
  <si>
    <t>228. EP N°1 Anticipo ext.</t>
  </si>
  <si>
    <t>228. EP N°1 Anticipo int.</t>
  </si>
  <si>
    <t>227. EP N°1 y 2 Vuelo Dron</t>
  </si>
  <si>
    <t>equipo proyectos</t>
  </si>
  <si>
    <t>gaby/fernanda/hugo 50%</t>
  </si>
  <si>
    <t>Total</t>
  </si>
  <si>
    <t>229. EP N°1 Bodega La Cisterna</t>
  </si>
  <si>
    <t>161. EP N°3 Loteo Pabellón, DAL</t>
  </si>
  <si>
    <t>224. EP N°3 Ciclovia Colina, CREAR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</si>
</sst>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164" formatCode="&quot;$ &quot;#,##0"/>
    <numFmt numFmtId="165" formatCode="0.0%"/>
    <numFmt numFmtId="166" formatCode="_(\$* #,##0_);_(\$* \(#,##0\);_(\$* \-_);_(@_)"/>
    <numFmt numFmtId="167" formatCode="_ \$* #,##0_ ;_ \$* \-#,##0_ ;_ \$* \-_ ;_ @_ "/>
    <numFmt numFmtId="168" formatCode="mmm\-yy"/>
  </numFmts>
  <fonts count="31" x14ac:knownFonts="1">
    <font>
      <sz val="11"/>
      <color theme="1"/>
      <name val="Aptos Narrow"/>
      <family val="2"/>
      <charset val="1"/>
    </font>
    <font>
      <b/>
      <sz val="16"/>
      <color rgb="FFFFFFFF"/>
      <name val="Calibri"/>
      <family val="2"/>
    </font>
    <font>
      <i/>
      <sz val="10"/>
      <color rgb="FFAAAAAA"/>
      <name val="Calibri"/>
      <family val="2"/>
    </font>
    <font>
      <b/>
      <sz val="13"/>
      <color rgb="FFFFFFFF"/>
      <name val="Calibri"/>
      <family val="2"/>
    </font>
    <font>
      <b/>
      <sz val="8"/>
      <color rgb="FF1B3A6B"/>
      <name val="Calibri"/>
      <family val="2"/>
    </font>
    <font>
      <b/>
      <sz val="13"/>
      <color rgb="FF1B3A6B"/>
      <name val="Calibri"/>
      <family val="2"/>
    </font>
    <font>
      <b/>
      <sz val="8"/>
      <color rgb="FF1E6B3C"/>
      <name val="Calibri"/>
      <family val="2"/>
    </font>
    <font>
      <b/>
      <sz val="13"/>
      <color rgb="FF1E6B3C"/>
      <name val="Calibri"/>
      <family val="2"/>
    </font>
    <font>
      <b/>
      <sz val="11"/>
      <color rgb="FF1E6B3C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C55A11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color rgb="FF1B3A6B"/>
      <name val="Calibri"/>
      <family val="2"/>
    </font>
    <font>
      <b/>
      <sz val="11"/>
      <color theme="1"/>
      <name val="Aptos Narrow"/>
      <family val="2"/>
      <charset val="1"/>
    </font>
    <font>
      <b/>
      <sz val="9"/>
      <color rgb="FF1E6B3C"/>
      <name val="Calibri"/>
      <family val="2"/>
    </font>
    <font>
      <b/>
      <sz val="9"/>
      <color rgb="FF6B2FA0"/>
      <name val="Calibri"/>
      <family val="2"/>
    </font>
    <font>
      <b/>
      <sz val="9"/>
      <color rgb="FF2E75B6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rgb="FFC55A11"/>
      <name val="Calibri"/>
      <family val="2"/>
    </font>
    <font>
      <sz val="11"/>
      <color theme="1"/>
      <name val="Aptos Narrow"/>
      <family val="2"/>
      <charset val="1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rgb="FFC55A11"/>
      <name val="Calibri"/>
      <family val="2"/>
    </font>
    <font>
      <b/>
      <sz val="9"/>
      <color rgb="FF1B3A6B"/>
      <name val="Calibri"/>
      <family val="2"/>
    </font>
    <font>
      <sz val="9"/>
      <name val="Calibri"/>
      <family val="2"/>
    </font>
    <font>
      <sz val="9"/>
      <color theme="5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B3A6B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DEEAF1"/>
      </patternFill>
    </fill>
    <fill>
      <patternFill patternType="solid">
        <fgColor rgb="FF404040"/>
        <bgColor rgb="FF333300"/>
      </patternFill>
    </fill>
    <fill>
      <patternFill patternType="solid">
        <fgColor rgb="FFFCE4D6"/>
        <bgColor rgb="FFE8D5F5"/>
      </patternFill>
    </fill>
    <fill>
      <patternFill patternType="solid">
        <fgColor rgb="FFC55A11"/>
        <bgColor rgb="FF993300"/>
      </patternFill>
    </fill>
    <fill>
      <patternFill patternType="solid">
        <fgColor rgb="FF1E6B3C"/>
        <bgColor rgb="FF008080"/>
      </patternFill>
    </fill>
    <fill>
      <patternFill patternType="solid">
        <fgColor rgb="FF6B2FA0"/>
        <bgColor rgb="FF993366"/>
      </patternFill>
    </fill>
    <fill>
      <patternFill patternType="solid">
        <fgColor rgb="FFE8D5F5"/>
        <bgColor rgb="FFD9D9D9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theme="5" tint="-0.249977111117893"/>
        <bgColor rgb="FFD9D9D9"/>
      </patternFill>
    </fill>
    <fill>
      <patternFill patternType="solid">
        <fgColor theme="0"/>
        <bgColor rgb="FFE8D5F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EEAF1"/>
      </patternFill>
    </fill>
    <fill>
      <patternFill patternType="solid">
        <fgColor theme="5" tint="0.59999389629810485"/>
        <bgColor rgb="FFD9D9D9"/>
      </patternFill>
    </fill>
    <fill>
      <patternFill patternType="solid">
        <fgColor theme="5" tint="0.59999389629810485"/>
        <bgColor rgb="FFDEEAF1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9" fontId="23" fillId="0" borderId="0"/>
    <xf numFmtId="166" fontId="23" fillId="0" borderId="0"/>
    <xf numFmtId="42" fontId="23" fillId="0" borderId="0" applyFont="0" applyFill="0" applyBorder="0" applyAlignment="0" applyProtection="0"/>
  </cellStyleXfs>
  <cellXfs count="224">
    <xf numFmtId="0" fontId="0" fillId="0" borderId="0" xfId="0"/>
    <xf numFmtId="0" fontId="13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right" vertical="center"/>
    </xf>
    <xf numFmtId="165" fontId="11" fillId="4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3" fontId="12" fillId="9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right" vertical="center"/>
    </xf>
    <xf numFmtId="165" fontId="11" fillId="7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14" fillId="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167" fontId="15" fillId="5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167" fontId="15" fillId="4" borderId="1" xfId="0" applyNumberFormat="1" applyFont="1" applyFill="1" applyBorder="1" applyAlignment="1">
      <alignment horizontal="left" vertical="center"/>
    </xf>
    <xf numFmtId="0" fontId="0" fillId="7" borderId="5" xfId="0" applyFill="1" applyBorder="1"/>
    <xf numFmtId="167" fontId="23" fillId="7" borderId="6" xfId="2" applyNumberFormat="1" applyFill="1" applyBorder="1"/>
    <xf numFmtId="0" fontId="10" fillId="3" borderId="1" xfId="0" applyFont="1" applyFill="1" applyBorder="1" applyAlignment="1">
      <alignment horizontal="left" vertical="center"/>
    </xf>
    <xf numFmtId="167" fontId="10" fillId="3" borderId="1" xfId="2" applyNumberFormat="1" applyFont="1" applyFill="1" applyBorder="1" applyAlignment="1">
      <alignment horizontal="left" vertical="center"/>
    </xf>
    <xf numFmtId="0" fontId="0" fillId="7" borderId="2" xfId="0" applyFill="1" applyBorder="1"/>
    <xf numFmtId="0" fontId="16" fillId="7" borderId="0" xfId="0" applyFont="1" applyFill="1"/>
    <xf numFmtId="167" fontId="16" fillId="7" borderId="0" xfId="2" applyNumberFormat="1" applyFont="1" applyFill="1"/>
    <xf numFmtId="0" fontId="12" fillId="9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167" fontId="13" fillId="11" borderId="1" xfId="2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0" fillId="7" borderId="0" xfId="0" applyFill="1"/>
    <xf numFmtId="0" fontId="18" fillId="13" borderId="1" xfId="0" applyFont="1" applyFill="1" applyBorder="1" applyAlignment="1">
      <alignment horizontal="left" vertical="center"/>
    </xf>
    <xf numFmtId="167" fontId="18" fillId="13" borderId="1" xfId="2" applyNumberFormat="1" applyFont="1" applyFill="1" applyBorder="1" applyAlignment="1">
      <alignment horizontal="left" vertical="center"/>
    </xf>
    <xf numFmtId="167" fontId="0" fillId="7" borderId="2" xfId="0" applyNumberFormat="1" applyFill="1" applyBorder="1"/>
    <xf numFmtId="0" fontId="19" fillId="4" borderId="1" xfId="0" applyFont="1" applyFill="1" applyBorder="1" applyAlignment="1">
      <alignment horizontal="left" vertical="center"/>
    </xf>
    <xf numFmtId="167" fontId="19" fillId="4" borderId="1" xfId="2" applyNumberFormat="1" applyFont="1" applyFill="1" applyBorder="1" applyAlignment="1">
      <alignment horizontal="left" vertical="center"/>
    </xf>
    <xf numFmtId="167" fontId="0" fillId="0" borderId="0" xfId="0" applyNumberFormat="1"/>
    <xf numFmtId="167" fontId="10" fillId="3" borderId="1" xfId="0" applyNumberFormat="1" applyFont="1" applyFill="1" applyBorder="1" applyAlignment="1">
      <alignment horizontal="left" vertical="center"/>
    </xf>
    <xf numFmtId="0" fontId="0" fillId="0" borderId="7" xfId="0" applyBorder="1"/>
    <xf numFmtId="0" fontId="17" fillId="6" borderId="1" xfId="0" applyFont="1" applyFill="1" applyBorder="1" applyAlignment="1">
      <alignment horizontal="left" vertical="center"/>
    </xf>
    <xf numFmtId="167" fontId="17" fillId="6" borderId="1" xfId="0" applyNumberFormat="1" applyFont="1" applyFill="1" applyBorder="1" applyAlignment="1">
      <alignment horizontal="left" vertical="center"/>
    </xf>
    <xf numFmtId="167" fontId="23" fillId="0" borderId="0" xfId="2" applyNumberFormat="1"/>
    <xf numFmtId="0" fontId="21" fillId="0" borderId="0" xfId="0" applyFont="1" applyAlignment="1">
      <alignment horizontal="left" vertical="center"/>
    </xf>
    <xf numFmtId="167" fontId="13" fillId="3" borderId="1" xfId="2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3" fontId="21" fillId="4" borderId="1" xfId="2" applyNumberFormat="1" applyFont="1" applyFill="1" applyBorder="1" applyAlignment="1">
      <alignment horizontal="right" vertical="center"/>
    </xf>
    <xf numFmtId="165" fontId="21" fillId="4" borderId="1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center" vertical="center"/>
    </xf>
    <xf numFmtId="3" fontId="21" fillId="7" borderId="1" xfId="2" applyNumberFormat="1" applyFont="1" applyFill="1" applyBorder="1" applyAlignment="1">
      <alignment horizontal="right" vertical="center"/>
    </xf>
    <xf numFmtId="165" fontId="21" fillId="7" borderId="1" xfId="0" applyNumberFormat="1" applyFont="1" applyFill="1" applyBorder="1" applyAlignment="1">
      <alignment horizontal="right" vertical="center"/>
    </xf>
    <xf numFmtId="3" fontId="13" fillId="2" borderId="1" xfId="2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center" vertical="center"/>
    </xf>
    <xf numFmtId="167" fontId="13" fillId="8" borderId="1" xfId="2" applyNumberFormat="1" applyFont="1" applyFill="1" applyBorder="1" applyAlignment="1">
      <alignment horizontal="center" vertical="center"/>
    </xf>
    <xf numFmtId="167" fontId="21" fillId="0" borderId="0" xfId="2" applyNumberFormat="1" applyFont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  <xf numFmtId="3" fontId="22" fillId="9" borderId="1" xfId="2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left" vertical="center"/>
    </xf>
    <xf numFmtId="3" fontId="22" fillId="7" borderId="1" xfId="1" applyNumberFormat="1" applyFont="1" applyFill="1" applyBorder="1" applyAlignment="1">
      <alignment horizontal="right" vertical="center"/>
    </xf>
    <xf numFmtId="1" fontId="21" fillId="0" borderId="0" xfId="1" applyNumberFormat="1" applyFont="1" applyAlignment="1">
      <alignment horizontal="left" vertical="center"/>
    </xf>
    <xf numFmtId="3" fontId="22" fillId="7" borderId="1" xfId="2" applyNumberFormat="1" applyFont="1" applyFill="1" applyBorder="1" applyAlignment="1">
      <alignment horizontal="right" vertical="center"/>
    </xf>
    <xf numFmtId="167" fontId="21" fillId="0" borderId="0" xfId="0" applyNumberFormat="1" applyFont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3" fontId="11" fillId="14" borderId="1" xfId="2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left" vertical="center"/>
    </xf>
    <xf numFmtId="3" fontId="11" fillId="15" borderId="1" xfId="2" applyNumberFormat="1" applyFont="1" applyFill="1" applyBorder="1" applyAlignment="1">
      <alignment horizontal="right" vertical="center"/>
    </xf>
    <xf numFmtId="167" fontId="11" fillId="14" borderId="1" xfId="2" applyNumberFormat="1" applyFont="1" applyFill="1" applyBorder="1" applyAlignment="1">
      <alignment horizontal="left" vertical="center"/>
    </xf>
    <xf numFmtId="167" fontId="11" fillId="15" borderId="1" xfId="2" applyNumberFormat="1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0" fontId="24" fillId="16" borderId="1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left" vertical="center"/>
    </xf>
    <xf numFmtId="0" fontId="0" fillId="0" borderId="1" xfId="0" applyBorder="1"/>
    <xf numFmtId="0" fontId="11" fillId="14" borderId="0" xfId="0" applyFont="1" applyFill="1" applyAlignment="1">
      <alignment horizontal="left" vertical="center"/>
    </xf>
    <xf numFmtId="167" fontId="11" fillId="14" borderId="0" xfId="2" applyNumberFormat="1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167" fontId="11" fillId="15" borderId="0" xfId="2" applyNumberFormat="1" applyFont="1" applyFill="1" applyAlignment="1">
      <alignment horizontal="left" vertical="center"/>
    </xf>
    <xf numFmtId="0" fontId="27" fillId="9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0" fillId="0" borderId="4" xfId="0" applyBorder="1"/>
    <xf numFmtId="0" fontId="14" fillId="5" borderId="6" xfId="0" applyFont="1" applyFill="1" applyBorder="1" applyAlignment="1">
      <alignment horizontal="center" vertical="center"/>
    </xf>
    <xf numFmtId="3" fontId="11" fillId="7" borderId="6" xfId="2" applyNumberFormat="1" applyFont="1" applyFill="1" applyBorder="1" applyAlignment="1">
      <alignment horizontal="right" vertical="center"/>
    </xf>
    <xf numFmtId="3" fontId="11" fillId="15" borderId="6" xfId="0" applyNumberFormat="1" applyFont="1" applyFill="1" applyBorder="1" applyAlignment="1">
      <alignment horizontal="right" vertical="center"/>
    </xf>
    <xf numFmtId="3" fontId="11" fillId="15" borderId="6" xfId="2" applyNumberFormat="1" applyFont="1" applyFill="1" applyBorder="1" applyAlignment="1">
      <alignment horizontal="right" vertical="center"/>
    </xf>
    <xf numFmtId="3" fontId="11" fillId="14" borderId="6" xfId="2" applyNumberFormat="1" applyFont="1" applyFill="1" applyBorder="1" applyAlignment="1">
      <alignment horizontal="right" vertical="center"/>
    </xf>
    <xf numFmtId="0" fontId="0" fillId="0" borderId="6" xfId="0" applyBorder="1"/>
    <xf numFmtId="0" fontId="11" fillId="7" borderId="6" xfId="0" applyFont="1" applyFill="1" applyBorder="1" applyAlignment="1">
      <alignment horizontal="left" vertical="center"/>
    </xf>
    <xf numFmtId="167" fontId="10" fillId="3" borderId="6" xfId="2" applyNumberFormat="1" applyFont="1" applyFill="1" applyBorder="1" applyAlignment="1">
      <alignment horizontal="left" vertical="center"/>
    </xf>
    <xf numFmtId="167" fontId="13" fillId="11" borderId="6" xfId="2" applyNumberFormat="1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/>
    </xf>
    <xf numFmtId="167" fontId="18" fillId="13" borderId="6" xfId="2" applyNumberFormat="1" applyFont="1" applyFill="1" applyBorder="1" applyAlignment="1">
      <alignment horizontal="left" vertical="center"/>
    </xf>
    <xf numFmtId="167" fontId="19" fillId="4" borderId="6" xfId="2" applyNumberFormat="1" applyFont="1" applyFill="1" applyBorder="1" applyAlignment="1">
      <alignment horizontal="left" vertical="center"/>
    </xf>
    <xf numFmtId="167" fontId="10" fillId="3" borderId="6" xfId="0" applyNumberFormat="1" applyFont="1" applyFill="1" applyBorder="1" applyAlignment="1">
      <alignment horizontal="left" vertical="center"/>
    </xf>
    <xf numFmtId="167" fontId="15" fillId="5" borderId="6" xfId="0" applyNumberFormat="1" applyFont="1" applyFill="1" applyBorder="1" applyAlignment="1">
      <alignment horizontal="left" vertical="center"/>
    </xf>
    <xf numFmtId="167" fontId="17" fillId="6" borderId="6" xfId="0" applyNumberFormat="1" applyFont="1" applyFill="1" applyBorder="1" applyAlignment="1">
      <alignment horizontal="left" vertical="center"/>
    </xf>
    <xf numFmtId="167" fontId="15" fillId="4" borderId="6" xfId="0" applyNumberFormat="1" applyFont="1" applyFill="1" applyBorder="1" applyAlignment="1">
      <alignment horizontal="left" vertical="center"/>
    </xf>
    <xf numFmtId="167" fontId="15" fillId="15" borderId="1" xfId="2" applyNumberFormat="1" applyFont="1" applyFill="1" applyBorder="1" applyAlignment="1">
      <alignment horizontal="left" vertical="center"/>
    </xf>
    <xf numFmtId="0" fontId="11" fillId="15" borderId="6" xfId="0" applyFont="1" applyFill="1" applyBorder="1" applyAlignment="1">
      <alignment horizontal="left" vertical="center"/>
    </xf>
    <xf numFmtId="0" fontId="11" fillId="14" borderId="6" xfId="0" applyFont="1" applyFill="1" applyBorder="1" applyAlignment="1">
      <alignment horizontal="left" vertical="center"/>
    </xf>
    <xf numFmtId="0" fontId="15" fillId="15" borderId="6" xfId="0" applyFont="1" applyFill="1" applyBorder="1" applyAlignment="1">
      <alignment horizontal="left" vertical="center"/>
    </xf>
    <xf numFmtId="3" fontId="11" fillId="4" borderId="10" xfId="2" applyNumberFormat="1" applyFont="1" applyFill="1" applyBorder="1" applyAlignment="1">
      <alignment horizontal="right" vertical="center"/>
    </xf>
    <xf numFmtId="167" fontId="15" fillId="15" borderId="6" xfId="2" applyNumberFormat="1" applyFont="1" applyFill="1" applyBorder="1" applyAlignment="1">
      <alignment horizontal="left" vertical="center"/>
    </xf>
    <xf numFmtId="167" fontId="13" fillId="11" borderId="10" xfId="2" applyNumberFormat="1" applyFont="1" applyFill="1" applyBorder="1" applyAlignment="1">
      <alignment horizontal="center" vertical="center" wrapText="1"/>
    </xf>
    <xf numFmtId="167" fontId="11" fillId="14" borderId="6" xfId="2" applyNumberFormat="1" applyFont="1" applyFill="1" applyBorder="1" applyAlignment="1">
      <alignment horizontal="left" vertical="center"/>
    </xf>
    <xf numFmtId="3" fontId="19" fillId="4" borderId="6" xfId="2" applyNumberFormat="1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left" vertical="center"/>
    </xf>
    <xf numFmtId="0" fontId="11" fillId="15" borderId="5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0" fillId="0" borderId="5" xfId="0" applyBorder="1"/>
    <xf numFmtId="0" fontId="15" fillId="15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left" vertical="center"/>
    </xf>
    <xf numFmtId="0" fontId="19" fillId="4" borderId="5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center" vertical="center"/>
    </xf>
    <xf numFmtId="167" fontId="15" fillId="15" borderId="6" xfId="0" applyNumberFormat="1" applyFont="1" applyFill="1" applyBorder="1" applyAlignment="1">
      <alignment horizontal="left" vertical="center"/>
    </xf>
    <xf numFmtId="167" fontId="24" fillId="17" borderId="6" xfId="0" applyNumberFormat="1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3" fontId="11" fillId="18" borderId="6" xfId="2" applyNumberFormat="1" applyFont="1" applyFill="1" applyBorder="1" applyAlignment="1">
      <alignment horizontal="right" vertical="center"/>
    </xf>
    <xf numFmtId="167" fontId="12" fillId="9" borderId="6" xfId="0" applyNumberFormat="1" applyFont="1" applyFill="1" applyBorder="1" applyAlignment="1">
      <alignment horizontal="left" vertical="center"/>
    </xf>
    <xf numFmtId="0" fontId="13" fillId="12" borderId="6" xfId="0" applyFont="1" applyFill="1" applyBorder="1" applyAlignment="1">
      <alignment horizontal="center" vertical="center" wrapText="1"/>
    </xf>
    <xf numFmtId="3" fontId="11" fillId="7" borderId="6" xfId="0" applyNumberFormat="1" applyFont="1" applyFill="1" applyBorder="1" applyAlignment="1">
      <alignment horizontal="left" vertical="center"/>
    </xf>
    <xf numFmtId="0" fontId="14" fillId="9" borderId="5" xfId="0" applyFont="1" applyFill="1" applyBorder="1" applyAlignment="1">
      <alignment horizontal="center" vertical="center"/>
    </xf>
    <xf numFmtId="0" fontId="25" fillId="15" borderId="5" xfId="0" applyFont="1" applyFill="1" applyBorder="1" applyAlignment="1">
      <alignment horizontal="left" vertical="center"/>
    </xf>
    <xf numFmtId="0" fontId="24" fillId="17" borderId="5" xfId="0" applyFont="1" applyFill="1" applyBorder="1" applyAlignment="1">
      <alignment horizontal="left" vertical="center"/>
    </xf>
    <xf numFmtId="0" fontId="12" fillId="9" borderId="5" xfId="0" applyFont="1" applyFill="1" applyBorder="1" applyAlignment="1">
      <alignment horizontal="center" vertical="center"/>
    </xf>
    <xf numFmtId="0" fontId="11" fillId="18" borderId="5" xfId="0" applyFont="1" applyFill="1" applyBorder="1" applyAlignment="1">
      <alignment horizontal="left" vertical="center"/>
    </xf>
    <xf numFmtId="0" fontId="12" fillId="9" borderId="5" xfId="0" applyFont="1" applyFill="1" applyBorder="1" applyAlignment="1">
      <alignment horizontal="left" vertical="center"/>
    </xf>
    <xf numFmtId="0" fontId="13" fillId="12" borderId="5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center" vertical="center"/>
    </xf>
    <xf numFmtId="42" fontId="15" fillId="15" borderId="6" xfId="3" applyFont="1" applyFill="1" applyBorder="1" applyAlignment="1">
      <alignment horizontal="left" vertical="center"/>
    </xf>
    <xf numFmtId="167" fontId="24" fillId="16" borderId="6" xfId="0" applyNumberFormat="1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left" vertical="center"/>
    </xf>
    <xf numFmtId="3" fontId="11" fillId="7" borderId="15" xfId="2" applyNumberFormat="1" applyFont="1" applyFill="1" applyBorder="1" applyAlignment="1">
      <alignment horizontal="right" vertical="center"/>
    </xf>
    <xf numFmtId="0" fontId="25" fillId="15" borderId="14" xfId="0" applyFont="1" applyFill="1" applyBorder="1" applyAlignment="1">
      <alignment horizontal="left" vertical="center"/>
    </xf>
    <xf numFmtId="3" fontId="11" fillId="15" borderId="15" xfId="0" applyNumberFormat="1" applyFont="1" applyFill="1" applyBorder="1" applyAlignment="1">
      <alignment horizontal="right" vertical="center"/>
    </xf>
    <xf numFmtId="0" fontId="11" fillId="14" borderId="14" xfId="0" applyFont="1" applyFill="1" applyBorder="1" applyAlignment="1">
      <alignment horizontal="left" vertical="center"/>
    </xf>
    <xf numFmtId="3" fontId="11" fillId="14" borderId="15" xfId="2" applyNumberFormat="1" applyFont="1" applyFill="1" applyBorder="1" applyAlignment="1">
      <alignment horizontal="right" vertical="center"/>
    </xf>
    <xf numFmtId="0" fontId="11" fillId="15" borderId="14" xfId="0" applyFont="1" applyFill="1" applyBorder="1" applyAlignment="1">
      <alignment horizontal="left" vertical="center"/>
    </xf>
    <xf numFmtId="3" fontId="11" fillId="15" borderId="15" xfId="2" applyNumberFormat="1" applyFont="1" applyFill="1" applyBorder="1" applyAlignment="1">
      <alignment horizontal="right" vertical="center"/>
    </xf>
    <xf numFmtId="0" fontId="0" fillId="0" borderId="14" xfId="0" applyBorder="1"/>
    <xf numFmtId="0" fontId="0" fillId="0" borderId="15" xfId="0" applyBorder="1"/>
    <xf numFmtId="0" fontId="11" fillId="15" borderId="15" xfId="0" applyFont="1" applyFill="1" applyBorder="1" applyAlignment="1">
      <alignment horizontal="left" vertical="center"/>
    </xf>
    <xf numFmtId="0" fontId="11" fillId="14" borderId="15" xfId="0" applyFont="1" applyFill="1" applyBorder="1" applyAlignment="1">
      <alignment horizontal="left" vertical="center"/>
    </xf>
    <xf numFmtId="0" fontId="15" fillId="15" borderId="14" xfId="0" applyFont="1" applyFill="1" applyBorder="1" applyAlignment="1">
      <alignment horizontal="left" vertical="center"/>
    </xf>
    <xf numFmtId="0" fontId="15" fillId="15" borderId="15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167" fontId="10" fillId="3" borderId="15" xfId="2" applyNumberFormat="1" applyFont="1" applyFill="1" applyBorder="1" applyAlignment="1">
      <alignment horizontal="left" vertical="center"/>
    </xf>
    <xf numFmtId="0" fontId="16" fillId="7" borderId="7" xfId="0" applyFont="1" applyFill="1" applyBorder="1"/>
    <xf numFmtId="167" fontId="16" fillId="7" borderId="4" xfId="2" applyNumberFormat="1" applyFont="1" applyFill="1" applyBorder="1"/>
    <xf numFmtId="0" fontId="13" fillId="11" borderId="14" xfId="0" applyFont="1" applyFill="1" applyBorder="1" applyAlignment="1">
      <alignment horizontal="center" vertical="center" wrapText="1"/>
    </xf>
    <xf numFmtId="167" fontId="13" fillId="11" borderId="15" xfId="2" applyNumberFormat="1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8" fillId="13" borderId="14" xfId="0" applyFont="1" applyFill="1" applyBorder="1" applyAlignment="1">
      <alignment horizontal="left" vertical="center"/>
    </xf>
    <xf numFmtId="167" fontId="18" fillId="13" borderId="15" xfId="2" applyNumberFormat="1" applyFont="1" applyFill="1" applyBorder="1" applyAlignment="1">
      <alignment horizontal="left" vertical="center"/>
    </xf>
    <xf numFmtId="0" fontId="19" fillId="4" borderId="14" xfId="0" applyFont="1" applyFill="1" applyBorder="1" applyAlignment="1">
      <alignment horizontal="left" vertical="center"/>
    </xf>
    <xf numFmtId="167" fontId="19" fillId="4" borderId="15" xfId="2" applyNumberFormat="1" applyFont="1" applyFill="1" applyBorder="1" applyAlignment="1">
      <alignment horizontal="left" vertical="center"/>
    </xf>
    <xf numFmtId="167" fontId="0" fillId="0" borderId="4" xfId="0" applyNumberFormat="1" applyBorder="1"/>
    <xf numFmtId="167" fontId="10" fillId="3" borderId="15" xfId="0" applyNumberFormat="1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left" vertical="center"/>
    </xf>
    <xf numFmtId="167" fontId="15" fillId="5" borderId="15" xfId="0" applyNumberFormat="1" applyFont="1" applyFill="1" applyBorder="1" applyAlignment="1">
      <alignment horizontal="left" vertical="center"/>
    </xf>
    <xf numFmtId="0" fontId="17" fillId="6" borderId="14" xfId="0" applyFont="1" applyFill="1" applyBorder="1" applyAlignment="1">
      <alignment horizontal="left" vertical="center"/>
    </xf>
    <xf numFmtId="167" fontId="17" fillId="6" borderId="15" xfId="0" applyNumberFormat="1" applyFont="1" applyFill="1" applyBorder="1" applyAlignment="1">
      <alignment horizontal="left" vertical="center"/>
    </xf>
    <xf numFmtId="0" fontId="15" fillId="4" borderId="16" xfId="0" applyFont="1" applyFill="1" applyBorder="1" applyAlignment="1">
      <alignment horizontal="left" vertical="center"/>
    </xf>
    <xf numFmtId="167" fontId="15" fillId="4" borderId="17" xfId="0" applyNumberFormat="1" applyFont="1" applyFill="1" applyBorder="1" applyAlignment="1">
      <alignment horizontal="left" vertical="center"/>
    </xf>
    <xf numFmtId="0" fontId="30" fillId="15" borderId="1" xfId="0" applyFont="1" applyFill="1" applyBorder="1" applyAlignment="1">
      <alignment horizontal="left" vertical="center"/>
    </xf>
    <xf numFmtId="3" fontId="30" fillId="15" borderId="6" xfId="0" applyNumberFormat="1" applyFont="1" applyFill="1" applyBorder="1" applyAlignment="1">
      <alignment horizontal="right" vertical="center"/>
    </xf>
    <xf numFmtId="0" fontId="29" fillId="14" borderId="1" xfId="0" applyFont="1" applyFill="1" applyBorder="1" applyAlignment="1">
      <alignment horizontal="left" vertical="center"/>
    </xf>
    <xf numFmtId="3" fontId="29" fillId="14" borderId="6" xfId="2" applyNumberFormat="1" applyFont="1" applyFill="1" applyBorder="1" applyAlignment="1">
      <alignment horizontal="right" vertical="center"/>
    </xf>
    <xf numFmtId="0" fontId="25" fillId="19" borderId="1" xfId="0" applyFont="1" applyFill="1" applyBorder="1" applyAlignment="1">
      <alignment horizontal="left" vertical="center"/>
    </xf>
    <xf numFmtId="3" fontId="11" fillId="19" borderId="6" xfId="0" applyNumberFormat="1" applyFont="1" applyFill="1" applyBorder="1" applyAlignment="1">
      <alignment horizontal="right" vertical="center"/>
    </xf>
    <xf numFmtId="0" fontId="25" fillId="14" borderId="1" xfId="0" applyFont="1" applyFill="1" applyBorder="1" applyAlignment="1">
      <alignment horizontal="left" vertical="center"/>
    </xf>
    <xf numFmtId="42" fontId="0" fillId="0" borderId="0" xfId="3" applyFont="1"/>
    <xf numFmtId="42" fontId="0" fillId="0" borderId="0" xfId="0" applyNumberFormat="1"/>
    <xf numFmtId="9" fontId="23" fillId="0" borderId="0" xfId="1"/>
    <xf numFmtId="0" fontId="11" fillId="20" borderId="14" xfId="0" applyFont="1" applyFill="1" applyBorder="1" applyAlignment="1">
      <alignment horizontal="left" vertical="center"/>
    </xf>
    <xf numFmtId="3" fontId="11" fillId="20" borderId="15" xfId="2" applyNumberFormat="1" applyFont="1" applyFill="1" applyBorder="1" applyAlignment="1">
      <alignment horizontal="right" vertical="center"/>
    </xf>
    <xf numFmtId="0" fontId="11" fillId="21" borderId="1" xfId="0" applyFont="1" applyFill="1" applyBorder="1" applyAlignment="1">
      <alignment horizontal="left" vertical="center"/>
    </xf>
    <xf numFmtId="3" fontId="11" fillId="21" borderId="6" xfId="2" applyNumberFormat="1" applyFont="1" applyFill="1" applyBorder="1" applyAlignment="1">
      <alignment horizontal="right" vertical="center"/>
    </xf>
    <xf numFmtId="0" fontId="11" fillId="22" borderId="14" xfId="0" applyFont="1" applyFill="1" applyBorder="1" applyAlignment="1">
      <alignment horizontal="left" vertical="center"/>
    </xf>
    <xf numFmtId="3" fontId="11" fillId="22" borderId="15" xfId="2" applyNumberFormat="1" applyFont="1" applyFill="1" applyBorder="1" applyAlignment="1">
      <alignment horizontal="right" vertical="center"/>
    </xf>
    <xf numFmtId="0" fontId="11" fillId="22" borderId="1" xfId="0" applyFont="1" applyFill="1" applyBorder="1" applyAlignment="1">
      <alignment horizontal="left" vertical="center"/>
    </xf>
    <xf numFmtId="3" fontId="11" fillId="22" borderId="6" xfId="2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26" fillId="10" borderId="8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6" fillId="10" borderId="9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13" fillId="11" borderId="15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</cellXfs>
  <cellStyles count="4">
    <cellStyle name="Excel Built-in Currency [0]" xfId="2" xr:uid="{00000000-0005-0000-0000-000006000000}"/>
    <cellStyle name="Moneda [0]" xfId="3" builtinId="7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D9D9D9"/>
      <rgbColor rgb="FF8B8B8B"/>
      <rgbColor rgb="FF9999FF"/>
      <rgbColor rgb="FF993366"/>
      <rgbColor rgb="FFFCE4D6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E8D5F5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B3A6B"/>
      <rgbColor rgb="FF339966"/>
      <rgbColor rgb="FF003300"/>
      <rgbColor rgb="FF333300"/>
      <rgbColor rgb="FF993300"/>
      <rgbColor rgb="FF993366"/>
      <rgbColor rgb="FF6B2FA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</a:rPr>
              <a:t>Facturado vs Ingreso Caja — Q4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RESUMEN!$C$3</c:f>
              <c:strCache>
                <c:ptCount val="1"/>
                <c:pt idx="0">
                  <c:v> FACTURADO REAL ($) 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RESUMEN!$C$4:$C$7</c:f>
              <c:numCache>
                <c:formatCode>#,##0</c:formatCode>
                <c:ptCount val="4"/>
                <c:pt idx="0">
                  <c:v>24729067</c:v>
                </c:pt>
                <c:pt idx="1">
                  <c:v>11438356</c:v>
                </c:pt>
                <c:pt idx="2">
                  <c:v>8946267</c:v>
                </c:pt>
                <c:pt idx="3">
                  <c:v>38644475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F-4115-A42B-435A80702C49}"/>
            </c:ext>
          </c:extLst>
        </c:ser>
        <c:ser>
          <c:idx val="1"/>
          <c:order val="1"/>
          <c:tx>
            <c:strRef>
              <c:f>RESUMEN!$D$3</c:f>
              <c:strCache>
                <c:ptCount val="1"/>
                <c:pt idx="0">
                  <c:v> INGRESO CAJA ($) </c:v>
                </c:pt>
              </c:strCache>
            </c:strRef>
          </c:tx>
          <c:spPr>
            <a:solidFill>
              <a:srgbClr val="1E6B3C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RESUMEN!$D$4:$D$7</c:f>
              <c:numCache>
                <c:formatCode>#,##0</c:formatCode>
                <c:ptCount val="4"/>
                <c:pt idx="0">
                  <c:v>14504626</c:v>
                </c:pt>
                <c:pt idx="1">
                  <c:v>10356731</c:v>
                </c:pt>
                <c:pt idx="2">
                  <c:v>8695342</c:v>
                </c:pt>
                <c:pt idx="3">
                  <c:v>30554311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F-4115-A42B-435A80702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09613"/>
        <c:axId val="67139276"/>
      </c:barChart>
      <c:catAx>
        <c:axId val="97409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L"/>
          </a:p>
        </c:txPr>
        <c:crossAx val="67139276"/>
        <c:crosses val="autoZero"/>
        <c:auto val="1"/>
        <c:lblAlgn val="ctr"/>
        <c:lblOffset val="100"/>
        <c:noMultiLvlLbl val="0"/>
      </c:catAx>
      <c:valAx>
        <c:axId val="6713927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</a:rPr>
                  <a:t>Monto (CLP)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L"/>
          </a:p>
        </c:txPr>
        <c:crossAx val="97409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</a:rPr>
              <a:t>Meta vs Facturado vs Ingreso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RESUMEN!$B$3</c:f>
              <c:strCache>
                <c:ptCount val="1"/>
                <c:pt idx="0">
                  <c:v> META FACTURADA ($) </c:v>
                </c:pt>
              </c:strCache>
            </c:strRef>
          </c:tx>
          <c:spPr>
            <a:solidFill>
              <a:srgbClr val="1B3A6B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RESUMEN!$B$4:$B$7</c:f>
              <c:numCache>
                <c:formatCode>#,##0</c:formatCode>
                <c:ptCount val="4"/>
                <c:pt idx="0">
                  <c:v>19300000</c:v>
                </c:pt>
                <c:pt idx="1">
                  <c:v>11438356</c:v>
                </c:pt>
                <c:pt idx="2">
                  <c:v>8946267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E8C-ACEA-A9426C54B412}"/>
            </c:ext>
          </c:extLst>
        </c:ser>
        <c:ser>
          <c:idx val="1"/>
          <c:order val="1"/>
          <c:tx>
            <c:strRef>
              <c:f>RESUMEN!$C$3</c:f>
              <c:strCache>
                <c:ptCount val="1"/>
                <c:pt idx="0">
                  <c:v> FACTURADO REAL ($) 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RESUMEN!$C$4:$C$7</c:f>
              <c:numCache>
                <c:formatCode>#,##0</c:formatCode>
                <c:ptCount val="4"/>
                <c:pt idx="0">
                  <c:v>24729067</c:v>
                </c:pt>
                <c:pt idx="1">
                  <c:v>11438356</c:v>
                </c:pt>
                <c:pt idx="2">
                  <c:v>8946267</c:v>
                </c:pt>
                <c:pt idx="3">
                  <c:v>38644475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E-4E8C-ACEA-A9426C54B412}"/>
            </c:ext>
          </c:extLst>
        </c:ser>
        <c:ser>
          <c:idx val="2"/>
          <c:order val="2"/>
          <c:tx>
            <c:strRef>
              <c:f>RESUMEN!$D$3</c:f>
              <c:strCache>
                <c:ptCount val="1"/>
                <c:pt idx="0">
                  <c:v> INGRESO CAJA ($) </c:v>
                </c:pt>
              </c:strCache>
            </c:strRef>
          </c:tx>
          <c:spPr>
            <a:solidFill>
              <a:srgbClr val="1E6B3C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RESUMEN!$D$4:$D$7</c:f>
              <c:numCache>
                <c:formatCode>#,##0</c:formatCode>
                <c:ptCount val="4"/>
                <c:pt idx="0">
                  <c:v>14504626</c:v>
                </c:pt>
                <c:pt idx="1">
                  <c:v>10356731</c:v>
                </c:pt>
                <c:pt idx="2">
                  <c:v>8695342</c:v>
                </c:pt>
                <c:pt idx="3">
                  <c:v>30554311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E-4E8C-ACEA-A9426C54B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809203"/>
        <c:axId val="48189238"/>
      </c:barChart>
      <c:catAx>
        <c:axId val="668092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L"/>
          </a:p>
        </c:txPr>
        <c:crossAx val="48189238"/>
        <c:crosses val="autoZero"/>
        <c:auto val="1"/>
        <c:lblAlgn val="ctr"/>
        <c:lblOffset val="100"/>
        <c:noMultiLvlLbl val="0"/>
      </c:catAx>
      <c:valAx>
        <c:axId val="4818923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</a:rPr>
                  <a:t>Monto (CLP 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L"/>
          </a:p>
        </c:txPr>
        <c:crossAx val="66809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Aptos Narrow"/>
              </a:rPr>
              <a:t>Eficiencia de Facturación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RESUMEN!$E$3</c:f>
              <c:strCache>
                <c:ptCount val="1"/>
                <c:pt idx="0">
                  <c:v>EFICIENCIA (%)</c:v>
                </c:pt>
              </c:strCache>
            </c:strRef>
          </c:tx>
          <c:spPr>
            <a:solidFill>
              <a:srgbClr val="C55A11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RESUMEN!$A$4:$A$7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RESUMEN!$E$4:$E$7</c:f>
              <c:numCache>
                <c:formatCode>0.0%</c:formatCode>
                <c:ptCount val="4"/>
                <c:pt idx="0">
                  <c:v>1.2812988082901555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D-4257-9B2D-0736DFBF5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19302"/>
        <c:axId val="13810637"/>
      </c:barChart>
      <c:catAx>
        <c:axId val="58919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L"/>
          </a:p>
        </c:txPr>
        <c:crossAx val="13810637"/>
        <c:crosses val="autoZero"/>
        <c:auto val="1"/>
        <c:lblAlgn val="ctr"/>
        <c:lblOffset val="100"/>
        <c:noMultiLvlLbl val="0"/>
      </c:catAx>
      <c:valAx>
        <c:axId val="1381063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Aptos Narrow"/>
                  </a:rPr>
                  <a:t>% Eficiencia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L"/>
          </a:p>
        </c:txPr>
        <c:crossAx val="58919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985320</xdr:colOff>
      <xdr:row>45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426600</xdr:colOff>
      <xdr:row>23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14</xdr:col>
      <xdr:colOff>426600</xdr:colOff>
      <xdr:row>36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A2" zoomScaleNormal="100" workbookViewId="0">
      <selection activeCell="J7" sqref="J7:K7"/>
    </sheetView>
  </sheetViews>
  <sheetFormatPr baseColWidth="10" defaultColWidth="8.5703125" defaultRowHeight="15" x14ac:dyDescent="0.25"/>
  <cols>
    <col min="1" max="1" width="3" customWidth="1"/>
    <col min="2" max="2" width="18" customWidth="1"/>
    <col min="3" max="6" width="20" customWidth="1"/>
    <col min="7" max="7" width="3" customWidth="1"/>
    <col min="8" max="8" width="18" customWidth="1"/>
    <col min="9" max="12" width="20" customWidth="1"/>
    <col min="13" max="13" width="3" customWidth="1"/>
  </cols>
  <sheetData>
    <row r="1" spans="1:13" ht="43.5" customHeight="1" x14ac:dyDescent="0.25">
      <c r="A1" s="219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</row>
    <row r="2" spans="1:13" ht="19.5" customHeight="1" x14ac:dyDescent="0.25">
      <c r="A2" s="220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</row>
    <row r="3" spans="1:13" ht="12" customHeight="1" x14ac:dyDescent="0.25"/>
    <row r="4" spans="1:13" ht="27.75" customHeight="1" x14ac:dyDescent="0.25">
      <c r="B4" s="221" t="s">
        <v>2</v>
      </c>
      <c r="C4" s="221"/>
      <c r="D4" s="221" t="s">
        <v>3</v>
      </c>
      <c r="E4" s="221"/>
      <c r="H4" s="221" t="s">
        <v>4</v>
      </c>
      <c r="I4" s="221"/>
      <c r="J4" s="221" t="s">
        <v>5</v>
      </c>
      <c r="K4" s="221"/>
    </row>
    <row r="5" spans="1:13" ht="15.75" customHeight="1" x14ac:dyDescent="0.25">
      <c r="B5" s="217" t="s">
        <v>6</v>
      </c>
      <c r="C5" s="217"/>
      <c r="D5" s="217" t="s">
        <v>6</v>
      </c>
      <c r="E5" s="217"/>
      <c r="H5" s="217" t="s">
        <v>6</v>
      </c>
      <c r="I5" s="217"/>
      <c r="J5" s="217" t="s">
        <v>6</v>
      </c>
      <c r="K5" s="217"/>
    </row>
    <row r="6" spans="1:13" ht="21.75" customHeight="1" x14ac:dyDescent="0.25">
      <c r="B6" s="218">
        <f>'CURSADO-INGRESADO Q4'!H58</f>
        <v>19300000</v>
      </c>
      <c r="C6" s="218"/>
      <c r="D6" s="218">
        <f>'CURSADO-INGRESADO Q4'!K58</f>
        <v>11438356</v>
      </c>
      <c r="E6" s="218"/>
      <c r="H6" s="218">
        <f>'CURSADO-INGRESADO Q4'!N58</f>
        <v>8946267</v>
      </c>
      <c r="I6" s="218"/>
      <c r="J6" s="218">
        <v>0</v>
      </c>
      <c r="K6" s="218"/>
    </row>
    <row r="7" spans="1:13" ht="15.75" customHeight="1" x14ac:dyDescent="0.25">
      <c r="B7" s="215" t="s">
        <v>7</v>
      </c>
      <c r="C7" s="215"/>
      <c r="D7" s="215" t="s">
        <v>7</v>
      </c>
      <c r="E7" s="215"/>
      <c r="H7" s="215" t="s">
        <v>7</v>
      </c>
      <c r="I7" s="215"/>
      <c r="J7" s="215" t="s">
        <v>7</v>
      </c>
      <c r="K7" s="215"/>
    </row>
    <row r="8" spans="1:13" ht="21.75" customHeight="1" x14ac:dyDescent="0.25">
      <c r="B8" s="216">
        <f>'CURSADO-INGRESADO Q4'!H60</f>
        <v>24729067</v>
      </c>
      <c r="C8" s="216"/>
      <c r="D8" s="216">
        <f>'CURSADO-INGRESADO Q4'!K60</f>
        <v>11438356</v>
      </c>
      <c r="E8" s="216"/>
      <c r="H8" s="216">
        <f>'CURSADO-INGRESADO Q4'!N60</f>
        <v>8946267</v>
      </c>
      <c r="I8" s="216"/>
      <c r="J8" s="216">
        <f>'CURSADO-INGRESADO Q4'!Q60</f>
        <v>38644475</v>
      </c>
      <c r="K8" s="216"/>
    </row>
    <row r="9" spans="1:13" ht="15.75" customHeight="1" x14ac:dyDescent="0.25">
      <c r="B9" s="213" t="s">
        <v>8</v>
      </c>
      <c r="C9" s="213"/>
      <c r="D9" s="213" t="s">
        <v>8</v>
      </c>
      <c r="E9" s="213"/>
      <c r="H9" s="213" t="s">
        <v>8</v>
      </c>
      <c r="I9" s="213"/>
      <c r="J9" s="213" t="s">
        <v>8</v>
      </c>
      <c r="K9" s="213"/>
    </row>
    <row r="10" spans="1:13" ht="21.75" customHeight="1" x14ac:dyDescent="0.25">
      <c r="B10" s="214">
        <f>'CURSADO-INGRESADO Q4'!H59</f>
        <v>14504626</v>
      </c>
      <c r="C10" s="214"/>
      <c r="D10" s="214">
        <f>'CURSADO-INGRESADO Q4'!K59</f>
        <v>10356731</v>
      </c>
      <c r="E10" s="214"/>
      <c r="H10" s="214">
        <f>'CURSADO-INGRESADO Q4'!N59</f>
        <v>8695342</v>
      </c>
      <c r="I10" s="214"/>
      <c r="J10" s="214">
        <f>'CURSADO-INGRESADO Q4'!Q59</f>
        <v>30554311</v>
      </c>
      <c r="K10" s="214"/>
    </row>
    <row r="11" spans="1:13" ht="19.5" customHeight="1" x14ac:dyDescent="0.25">
      <c r="B11" s="211">
        <f>IF(B6&gt;0,B8/B6,0)</f>
        <v>1.2812988082901555</v>
      </c>
      <c r="C11" s="211"/>
      <c r="D11" s="211">
        <f>IF(D6&gt;0,D8/D6,0)</f>
        <v>1</v>
      </c>
      <c r="E11" s="211"/>
      <c r="H11" s="211">
        <f>IF(H6&gt;0,H8/H6,0)</f>
        <v>1</v>
      </c>
      <c r="I11" s="211"/>
      <c r="J11" s="211">
        <f>IF(J6&gt;0,J8/J6,0)</f>
        <v>0</v>
      </c>
      <c r="K11" s="211"/>
    </row>
    <row r="12" spans="1:13" ht="9.75" customHeight="1" x14ac:dyDescent="0.25"/>
    <row r="13" spans="1:13" ht="25.5" customHeight="1" x14ac:dyDescent="0.25">
      <c r="B13" s="212" t="s">
        <v>9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</row>
    <row r="14" spans="1:13" ht="24" customHeight="1" x14ac:dyDescent="0.25">
      <c r="B14" s="2"/>
      <c r="C14" s="2" t="s">
        <v>10</v>
      </c>
      <c r="D14" s="2" t="s">
        <v>11</v>
      </c>
      <c r="E14" s="2" t="s">
        <v>12</v>
      </c>
      <c r="F14" s="2" t="s">
        <v>13</v>
      </c>
      <c r="G14" s="2"/>
      <c r="H14" s="2" t="s">
        <v>14</v>
      </c>
      <c r="I14" s="2" t="s">
        <v>15</v>
      </c>
    </row>
    <row r="15" spans="1:13" ht="19.5" customHeight="1" x14ac:dyDescent="0.25">
      <c r="B15" s="3" t="s">
        <v>16</v>
      </c>
      <c r="C15" s="4">
        <f>'CURSADO-INGRESADO Q4'!H58</f>
        <v>19300000</v>
      </c>
      <c r="D15" s="4">
        <f>'CURSADO-INGRESADO Q4'!H60</f>
        <v>24729067</v>
      </c>
      <c r="E15" s="4">
        <f>'CURSADO-INGRESADO Q4'!H59</f>
        <v>14504626</v>
      </c>
      <c r="F15" s="5">
        <f>IF(C15&gt;0,D15/C15,0)</f>
        <v>1.2812988082901555</v>
      </c>
      <c r="H15" s="6" t="s">
        <v>17</v>
      </c>
      <c r="I15" s="7">
        <f>'CURSADO-INGRESADO Q4'!B29</f>
        <v>0</v>
      </c>
    </row>
    <row r="16" spans="1:13" ht="19.5" customHeight="1" x14ac:dyDescent="0.25">
      <c r="B16" s="8" t="s">
        <v>18</v>
      </c>
      <c r="C16" s="9">
        <f>'CURSADO-INGRESADO Q4'!K58</f>
        <v>11438356</v>
      </c>
      <c r="D16" s="9">
        <f>'CURSADO-INGRESADO Q4'!K60</f>
        <v>11438356</v>
      </c>
      <c r="E16" s="9">
        <f>'CURSADO-INGRESADO Q4'!K59</f>
        <v>10356731</v>
      </c>
      <c r="F16" s="10">
        <f>IF(C16&gt;0,D16/C16,0)</f>
        <v>1</v>
      </c>
      <c r="H16" s="11" t="s">
        <v>19</v>
      </c>
      <c r="I16" s="12">
        <f>'CURSADO-INGRESADO Q4'!E29</f>
        <v>0</v>
      </c>
    </row>
    <row r="17" spans="2:9" ht="19.5" customHeight="1" x14ac:dyDescent="0.25">
      <c r="B17" s="3" t="s">
        <v>20</v>
      </c>
      <c r="C17" s="4">
        <f>'CURSADO-INGRESADO Q4'!N58</f>
        <v>8946267</v>
      </c>
      <c r="D17" s="4">
        <f>'CURSADO-INGRESADO Q4'!N60</f>
        <v>8946267</v>
      </c>
      <c r="E17" s="4">
        <f>'CURSADO-INGRESADO Q4'!N59</f>
        <v>8695342</v>
      </c>
      <c r="F17" s="5">
        <f>IF(C17&gt;0,D17/C17,0)</f>
        <v>1</v>
      </c>
      <c r="H17" s="6" t="s">
        <v>21</v>
      </c>
      <c r="I17" s="7">
        <f>'CURSADO-INGRESADO Q4'!E48</f>
        <v>0</v>
      </c>
    </row>
    <row r="18" spans="2:9" ht="19.5" customHeight="1" x14ac:dyDescent="0.25">
      <c r="B18" s="8" t="s">
        <v>22</v>
      </c>
      <c r="C18" s="9">
        <f>+'CURSADO-INGRESADO Q4'!Q30</f>
        <v>38644475</v>
      </c>
      <c r="D18" s="9">
        <f>'CURSADO-INGRESADO Q4'!Q60</f>
        <v>38644475</v>
      </c>
      <c r="E18" s="9">
        <f>'CURSADO-INGRESADO Q4'!Q59</f>
        <v>30554311</v>
      </c>
      <c r="F18" s="10">
        <f>IF(C18&gt;0,D18/C18,0)</f>
        <v>1</v>
      </c>
      <c r="H18" s="11" t="s">
        <v>23</v>
      </c>
      <c r="I18" s="12">
        <f>'CURSADO-INGRESADO Q4'!E41</f>
        <v>0</v>
      </c>
    </row>
    <row r="19" spans="2:9" ht="21.75" customHeight="1" x14ac:dyDescent="0.25">
      <c r="B19" s="13" t="s">
        <v>24</v>
      </c>
      <c r="C19" s="14">
        <f>SUM(C15:C18)</f>
        <v>78329098</v>
      </c>
      <c r="D19" s="14">
        <f>SUM(D15:D18)</f>
        <v>83758165</v>
      </c>
      <c r="E19" s="14">
        <f>SUM(E15:E18)</f>
        <v>64111010</v>
      </c>
      <c r="F19" s="15">
        <f>IF(C19&gt;0,D19/C19,0)</f>
        <v>1.0693109858101519</v>
      </c>
    </row>
  </sheetData>
  <mergeCells count="35">
    <mergeCell ref="A1:M1"/>
    <mergeCell ref="A2:M2"/>
    <mergeCell ref="B4:C4"/>
    <mergeCell ref="D4:E4"/>
    <mergeCell ref="H4:I4"/>
    <mergeCell ref="J4:K4"/>
    <mergeCell ref="B5:C5"/>
    <mergeCell ref="D5:E5"/>
    <mergeCell ref="H5:I5"/>
    <mergeCell ref="J5:K5"/>
    <mergeCell ref="B6:C6"/>
    <mergeCell ref="D6:E6"/>
    <mergeCell ref="H6:I6"/>
    <mergeCell ref="J6:K6"/>
    <mergeCell ref="B7:C7"/>
    <mergeCell ref="D7:E7"/>
    <mergeCell ref="H7:I7"/>
    <mergeCell ref="J7:K7"/>
    <mergeCell ref="B8:C8"/>
    <mergeCell ref="D8:E8"/>
    <mergeCell ref="H8:I8"/>
    <mergeCell ref="J8:K8"/>
    <mergeCell ref="B9:C9"/>
    <mergeCell ref="D9:E9"/>
    <mergeCell ref="H9:I9"/>
    <mergeCell ref="J9:K9"/>
    <mergeCell ref="B10:C10"/>
    <mergeCell ref="D10:E10"/>
    <mergeCell ref="H10:I10"/>
    <mergeCell ref="J10:K10"/>
    <mergeCell ref="B11:C11"/>
    <mergeCell ref="D11:E11"/>
    <mergeCell ref="H11:I11"/>
    <mergeCell ref="J11:K11"/>
    <mergeCell ref="B13:L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5"/>
  <sheetViews>
    <sheetView tabSelected="1" zoomScale="110" zoomScaleNormal="110" zoomScaleSheetLayoutView="100" workbookViewId="0">
      <pane xSplit="6" ySplit="2" topLeftCell="P3" activePane="bottomRight" state="frozen"/>
      <selection pane="topRight" activeCell="G1" sqref="G1"/>
      <selection pane="bottomLeft" activeCell="A3" sqref="A3"/>
      <selection pane="bottomRight" activeCell="T55" sqref="T55"/>
    </sheetView>
  </sheetViews>
  <sheetFormatPr baseColWidth="10" defaultColWidth="10.5703125" defaultRowHeight="15" x14ac:dyDescent="0.25"/>
  <cols>
    <col min="1" max="1" width="36.5703125" customWidth="1"/>
    <col min="2" max="2" width="14.140625" customWidth="1"/>
    <col min="3" max="3" width="3" style="16" customWidth="1"/>
    <col min="4" max="4" width="38.85546875" customWidth="1"/>
    <col min="5" max="5" width="16.42578125" customWidth="1"/>
    <col min="6" max="6" width="3" style="16" customWidth="1"/>
    <col min="7" max="7" width="33" customWidth="1"/>
    <col min="8" max="8" width="16.7109375" customWidth="1"/>
    <col min="9" max="9" width="3" style="16" customWidth="1"/>
    <col min="10" max="10" width="36.28515625" customWidth="1"/>
    <col min="11" max="11" width="16.85546875" customWidth="1"/>
    <col min="12" max="12" width="3" style="16" customWidth="1"/>
    <col min="13" max="13" width="41.7109375" customWidth="1"/>
    <col min="14" max="14" width="16.85546875" customWidth="1"/>
    <col min="15" max="15" width="3" style="16" customWidth="1"/>
    <col min="16" max="16" width="43.28515625" customWidth="1"/>
    <col min="17" max="17" width="16.85546875" customWidth="1"/>
    <col min="18" max="18" width="3" style="16" customWidth="1"/>
    <col min="19" max="19" width="43.28515625" customWidth="1"/>
    <col min="20" max="20" width="16.85546875" customWidth="1"/>
    <col min="21" max="21" width="3" style="16" customWidth="1"/>
  </cols>
  <sheetData>
    <row r="1" spans="1:21" ht="27.75" customHeight="1" x14ac:dyDescent="0.25">
      <c r="A1" s="197" t="s">
        <v>108</v>
      </c>
      <c r="B1" s="197"/>
      <c r="C1" s="17"/>
      <c r="D1" s="198" t="s">
        <v>112</v>
      </c>
      <c r="E1" s="199"/>
      <c r="F1" s="17"/>
      <c r="G1" s="200" t="s">
        <v>26</v>
      </c>
      <c r="H1" s="200"/>
      <c r="I1" s="17"/>
      <c r="J1" s="200" t="s">
        <v>27</v>
      </c>
      <c r="K1" s="200"/>
      <c r="L1" s="17"/>
      <c r="M1" s="200" t="s">
        <v>28</v>
      </c>
      <c r="N1" s="200"/>
      <c r="O1" s="17"/>
      <c r="P1" s="200" t="s">
        <v>29</v>
      </c>
      <c r="Q1" s="200"/>
      <c r="R1" s="17"/>
      <c r="S1" s="205" t="s">
        <v>118</v>
      </c>
      <c r="T1" s="206"/>
      <c r="U1" s="17"/>
    </row>
    <row r="2" spans="1:21" ht="18" customHeight="1" x14ac:dyDescent="0.25">
      <c r="A2" s="18" t="s">
        <v>30</v>
      </c>
      <c r="B2" s="140" t="s">
        <v>31</v>
      </c>
      <c r="D2" s="132" t="s">
        <v>30</v>
      </c>
      <c r="E2" s="124" t="s">
        <v>31</v>
      </c>
      <c r="G2" s="109" t="s">
        <v>30</v>
      </c>
      <c r="H2" s="84" t="s">
        <v>32</v>
      </c>
      <c r="J2" s="20" t="s">
        <v>30</v>
      </c>
      <c r="K2" s="20" t="s">
        <v>32</v>
      </c>
      <c r="M2" s="20" t="s">
        <v>30</v>
      </c>
      <c r="N2" s="20" t="s">
        <v>32</v>
      </c>
      <c r="P2" s="20" t="s">
        <v>30</v>
      </c>
      <c r="Q2" s="84" t="s">
        <v>32</v>
      </c>
      <c r="S2" s="143" t="s">
        <v>30</v>
      </c>
      <c r="T2" s="144" t="s">
        <v>32</v>
      </c>
    </row>
    <row r="3" spans="1:21" ht="18" customHeight="1" x14ac:dyDescent="0.25">
      <c r="A3" s="75" t="s">
        <v>150</v>
      </c>
      <c r="B3" s="86">
        <v>7119000</v>
      </c>
      <c r="D3" s="133" t="s">
        <v>121</v>
      </c>
      <c r="E3" s="86">
        <v>1500000</v>
      </c>
      <c r="G3" s="110" t="s">
        <v>35</v>
      </c>
      <c r="H3" s="88">
        <v>563575</v>
      </c>
      <c r="J3" s="67" t="s">
        <v>36</v>
      </c>
      <c r="K3" s="68">
        <v>2382300</v>
      </c>
      <c r="M3" s="67" t="s">
        <v>37</v>
      </c>
      <c r="N3" s="68">
        <v>1700000</v>
      </c>
      <c r="P3" s="67" t="s">
        <v>38</v>
      </c>
      <c r="Q3" s="88">
        <v>11995200</v>
      </c>
      <c r="S3" s="145" t="s">
        <v>64</v>
      </c>
      <c r="T3" s="146">
        <v>20517357.899999999</v>
      </c>
    </row>
    <row r="4" spans="1:21" ht="18" customHeight="1" x14ac:dyDescent="0.25">
      <c r="A4" s="69" t="s">
        <v>54</v>
      </c>
      <c r="B4" s="87">
        <v>5391959</v>
      </c>
      <c r="D4" s="133" t="s">
        <v>122</v>
      </c>
      <c r="E4" s="86">
        <v>2250000</v>
      </c>
      <c r="G4" s="111" t="s">
        <v>40</v>
      </c>
      <c r="H4" s="87">
        <v>357768</v>
      </c>
      <c r="J4" s="69" t="s">
        <v>41</v>
      </c>
      <c r="K4" s="70">
        <v>1900000</v>
      </c>
      <c r="M4" s="69" t="s">
        <v>42</v>
      </c>
      <c r="N4" s="68">
        <f>3780000*0.4</f>
        <v>1512000</v>
      </c>
      <c r="P4" s="69" t="s">
        <v>43</v>
      </c>
      <c r="Q4" s="87">
        <v>756000</v>
      </c>
      <c r="S4" s="147" t="s">
        <v>125</v>
      </c>
      <c r="T4" s="146">
        <v>1697850</v>
      </c>
    </row>
    <row r="5" spans="1:21" ht="18" customHeight="1" x14ac:dyDescent="0.25">
      <c r="A5" s="67" t="s">
        <v>59</v>
      </c>
      <c r="B5" s="88">
        <v>1078392</v>
      </c>
      <c r="D5" s="133" t="s">
        <v>123</v>
      </c>
      <c r="E5" s="86">
        <v>4875000</v>
      </c>
      <c r="G5" s="110" t="s">
        <v>45</v>
      </c>
      <c r="H5" s="88">
        <v>2600000</v>
      </c>
      <c r="J5" s="67" t="s">
        <v>46</v>
      </c>
      <c r="K5" s="68">
        <v>1079200</v>
      </c>
      <c r="M5" s="67" t="s">
        <v>47</v>
      </c>
      <c r="N5" s="68">
        <v>1300000</v>
      </c>
      <c r="P5" s="67" t="s">
        <v>48</v>
      </c>
      <c r="Q5" s="88">
        <v>2589711</v>
      </c>
      <c r="S5" s="149" t="s">
        <v>145</v>
      </c>
      <c r="T5" s="150">
        <v>1115310</v>
      </c>
    </row>
    <row r="6" spans="1:21" ht="18" customHeight="1" x14ac:dyDescent="0.25">
      <c r="A6" s="179" t="s">
        <v>109</v>
      </c>
      <c r="B6" s="180">
        <v>3148600</v>
      </c>
      <c r="D6" s="133" t="s">
        <v>124</v>
      </c>
      <c r="E6" s="86">
        <v>5421187</v>
      </c>
      <c r="G6" s="111" t="s">
        <v>50</v>
      </c>
      <c r="H6" s="87">
        <v>7450000</v>
      </c>
      <c r="J6" s="69" t="s">
        <v>51</v>
      </c>
      <c r="K6" s="70">
        <v>2064182</v>
      </c>
      <c r="M6" s="69" t="s">
        <v>52</v>
      </c>
      <c r="N6" s="70">
        <v>2271300</v>
      </c>
      <c r="P6" s="69" t="s">
        <v>53</v>
      </c>
      <c r="Q6" s="87">
        <v>5093043</v>
      </c>
      <c r="S6" s="189" t="s">
        <v>157</v>
      </c>
      <c r="T6" s="190">
        <v>3137690</v>
      </c>
    </row>
    <row r="7" spans="1:21" ht="18" customHeight="1" x14ac:dyDescent="0.25">
      <c r="A7" s="75" t="s">
        <v>147</v>
      </c>
      <c r="B7" s="88">
        <v>8248212</v>
      </c>
      <c r="D7" s="133" t="s">
        <v>111</v>
      </c>
      <c r="E7" s="86">
        <v>1265472</v>
      </c>
      <c r="G7" s="110" t="s">
        <v>55</v>
      </c>
      <c r="H7" s="88">
        <v>4279875</v>
      </c>
      <c r="J7" s="67" t="s">
        <v>56</v>
      </c>
      <c r="K7" s="68">
        <v>357239</v>
      </c>
      <c r="M7" s="67" t="s">
        <v>57</v>
      </c>
      <c r="N7" s="68">
        <v>1525500</v>
      </c>
      <c r="P7" s="67" t="s">
        <v>58</v>
      </c>
      <c r="Q7" s="88">
        <v>3187338</v>
      </c>
      <c r="S7" s="111" t="s">
        <v>159</v>
      </c>
      <c r="T7" s="86">
        <v>604608</v>
      </c>
    </row>
    <row r="8" spans="1:21" ht="18" customHeight="1" x14ac:dyDescent="0.25">
      <c r="A8" s="181" t="s">
        <v>110</v>
      </c>
      <c r="B8" s="182">
        <v>16412966</v>
      </c>
      <c r="D8" s="133" t="s">
        <v>119</v>
      </c>
      <c r="E8" s="86">
        <v>632736</v>
      </c>
      <c r="G8" s="111" t="s">
        <v>60</v>
      </c>
      <c r="H8" s="87">
        <v>3250063</v>
      </c>
      <c r="J8" s="69" t="s">
        <v>61</v>
      </c>
      <c r="K8" s="70">
        <v>2143435</v>
      </c>
      <c r="M8" s="69" t="s">
        <v>62</v>
      </c>
      <c r="N8" s="70">
        <v>637467</v>
      </c>
      <c r="P8" s="69" t="s">
        <v>63</v>
      </c>
      <c r="Q8" s="87">
        <v>4140063</v>
      </c>
      <c r="S8" s="111" t="s">
        <v>158</v>
      </c>
      <c r="T8" s="86">
        <v>1048862</v>
      </c>
    </row>
    <row r="9" spans="1:21" ht="18" customHeight="1" x14ac:dyDescent="0.25">
      <c r="A9" s="183" t="s">
        <v>33</v>
      </c>
      <c r="B9" s="184">
        <v>29550000</v>
      </c>
      <c r="D9" s="133" t="s">
        <v>120</v>
      </c>
      <c r="E9" s="86">
        <v>818602</v>
      </c>
      <c r="G9" s="110" t="s">
        <v>65</v>
      </c>
      <c r="H9" s="88">
        <v>3250062</v>
      </c>
      <c r="J9" s="67" t="s">
        <v>66</v>
      </c>
      <c r="K9" s="70">
        <f>3780000*0.4</f>
        <v>1512000</v>
      </c>
      <c r="M9" s="69"/>
      <c r="N9" s="70"/>
      <c r="P9" s="67" t="s">
        <v>67</v>
      </c>
      <c r="Q9" s="88">
        <v>6796000</v>
      </c>
      <c r="S9" s="153"/>
      <c r="T9" s="154"/>
    </row>
    <row r="10" spans="1:21" ht="18" customHeight="1" x14ac:dyDescent="0.25">
      <c r="A10" s="75" t="s">
        <v>128</v>
      </c>
      <c r="B10" s="86">
        <v>6500125</v>
      </c>
      <c r="D10" s="133" t="s">
        <v>125</v>
      </c>
      <c r="E10" s="86">
        <v>1649315</v>
      </c>
      <c r="G10" s="112" t="s">
        <v>68</v>
      </c>
      <c r="H10" s="104">
        <v>2382056</v>
      </c>
      <c r="J10" s="69"/>
      <c r="K10" s="70"/>
      <c r="M10" s="69"/>
      <c r="N10" s="70"/>
      <c r="P10" s="69" t="s">
        <v>151</v>
      </c>
      <c r="Q10" s="87">
        <v>601404</v>
      </c>
      <c r="S10" s="151"/>
      <c r="T10" s="152"/>
    </row>
    <row r="11" spans="1:21" ht="18" customHeight="1" x14ac:dyDescent="0.25">
      <c r="A11" s="183" t="s">
        <v>130</v>
      </c>
      <c r="B11" s="184">
        <v>23936918</v>
      </c>
      <c r="D11" s="133" t="s">
        <v>126</v>
      </c>
      <c r="E11" s="86">
        <v>1660932</v>
      </c>
      <c r="G11" s="113" t="s">
        <v>70</v>
      </c>
      <c r="H11" s="85">
        <v>595668</v>
      </c>
      <c r="J11" s="69"/>
      <c r="K11" s="70"/>
      <c r="M11" s="69"/>
      <c r="N11" s="70"/>
      <c r="P11" s="69" t="s">
        <v>152</v>
      </c>
      <c r="Q11" s="87">
        <v>1303042</v>
      </c>
      <c r="S11" s="151"/>
      <c r="T11" s="152"/>
    </row>
    <row r="12" spans="1:21" ht="18" customHeight="1" x14ac:dyDescent="0.25">
      <c r="A12" s="183" t="s">
        <v>131</v>
      </c>
      <c r="B12" s="184">
        <v>10258679</v>
      </c>
      <c r="D12" s="133" t="s">
        <v>127</v>
      </c>
      <c r="E12" s="86">
        <v>1581840</v>
      </c>
      <c r="G12" s="111"/>
      <c r="H12" s="87"/>
      <c r="J12" s="69"/>
      <c r="K12" s="70"/>
      <c r="M12" s="69"/>
      <c r="N12" s="70"/>
      <c r="P12" s="69" t="s">
        <v>153</v>
      </c>
      <c r="Q12" s="87">
        <v>2071290</v>
      </c>
      <c r="S12" s="151"/>
      <c r="T12" s="152"/>
    </row>
    <row r="13" spans="1:21" ht="18" customHeight="1" x14ac:dyDescent="0.25">
      <c r="A13" s="183" t="s">
        <v>132</v>
      </c>
      <c r="B13" s="184">
        <v>14322919.5</v>
      </c>
      <c r="D13" s="133" t="s">
        <v>129</v>
      </c>
      <c r="E13" s="86">
        <v>1067742</v>
      </c>
      <c r="G13" s="111"/>
      <c r="H13" s="87"/>
      <c r="J13" s="69"/>
      <c r="K13" s="70"/>
      <c r="M13" s="69"/>
      <c r="N13" s="70"/>
      <c r="P13" s="69"/>
      <c r="Q13" s="87">
        <f>93600*1.19</f>
        <v>111384</v>
      </c>
      <c r="S13" s="151"/>
      <c r="T13" s="152"/>
    </row>
    <row r="14" spans="1:21" ht="18" customHeight="1" x14ac:dyDescent="0.25">
      <c r="A14" s="183" t="s">
        <v>133</v>
      </c>
      <c r="B14" s="184">
        <v>23871532.5</v>
      </c>
      <c r="D14" s="133" t="s">
        <v>136</v>
      </c>
      <c r="E14" s="86">
        <v>474552</v>
      </c>
      <c r="G14" s="111"/>
      <c r="H14" s="87"/>
      <c r="J14" s="69"/>
      <c r="K14" s="70"/>
      <c r="M14" s="69"/>
      <c r="N14" s="70"/>
      <c r="P14" s="69"/>
      <c r="Q14" s="87"/>
      <c r="S14" s="151"/>
      <c r="T14" s="152"/>
    </row>
    <row r="15" spans="1:21" ht="18" customHeight="1" x14ac:dyDescent="0.25">
      <c r="A15" s="183" t="s">
        <v>134</v>
      </c>
      <c r="B15" s="184">
        <v>33420145.499999996</v>
      </c>
      <c r="D15" s="133" t="s">
        <v>138</v>
      </c>
      <c r="E15" s="86">
        <v>595514</v>
      </c>
      <c r="G15" s="111"/>
      <c r="H15" s="87"/>
      <c r="J15" s="69"/>
      <c r="K15" s="70"/>
      <c r="M15" s="69"/>
      <c r="N15" s="70"/>
      <c r="P15" s="69"/>
      <c r="Q15" s="87"/>
      <c r="S15" s="151"/>
      <c r="T15" s="152"/>
    </row>
    <row r="16" spans="1:21" ht="18" customHeight="1" x14ac:dyDescent="0.25">
      <c r="A16" s="183" t="s">
        <v>135</v>
      </c>
      <c r="B16" s="184">
        <v>23871532.5</v>
      </c>
      <c r="D16" s="133" t="s">
        <v>139</v>
      </c>
      <c r="E16" s="86">
        <v>595514</v>
      </c>
      <c r="G16" s="111"/>
      <c r="H16" s="87"/>
      <c r="J16" s="69"/>
      <c r="K16" s="70"/>
      <c r="M16" s="69"/>
      <c r="N16" s="70"/>
      <c r="P16" s="69"/>
      <c r="Q16" s="87"/>
      <c r="S16" s="151"/>
      <c r="T16" s="152"/>
    </row>
    <row r="17" spans="1:21" ht="18" customHeight="1" x14ac:dyDescent="0.25">
      <c r="A17" s="183" t="s">
        <v>69</v>
      </c>
      <c r="B17" s="184">
        <v>10194000</v>
      </c>
      <c r="D17" s="133" t="s">
        <v>140</v>
      </c>
      <c r="E17" s="86">
        <v>595514</v>
      </c>
      <c r="G17" s="111"/>
      <c r="H17" s="87"/>
      <c r="J17" s="69"/>
      <c r="K17" s="70"/>
      <c r="M17" s="69"/>
      <c r="N17" s="70"/>
      <c r="P17" s="69"/>
      <c r="Q17" s="87"/>
      <c r="S17" s="151"/>
      <c r="T17" s="152"/>
    </row>
    <row r="18" spans="1:21" ht="18" customHeight="1" x14ac:dyDescent="0.25">
      <c r="A18" s="75"/>
      <c r="B18" s="88"/>
      <c r="D18" s="133" t="s">
        <v>141</v>
      </c>
      <c r="E18" s="86">
        <v>515970</v>
      </c>
      <c r="G18" s="111"/>
      <c r="H18" s="87"/>
      <c r="J18" s="69"/>
      <c r="K18" s="70"/>
      <c r="M18" s="69"/>
      <c r="N18" s="70"/>
      <c r="P18" s="69"/>
      <c r="Q18" s="87"/>
      <c r="S18" s="151"/>
      <c r="T18" s="152"/>
    </row>
    <row r="19" spans="1:21" ht="18" customHeight="1" x14ac:dyDescent="0.25">
      <c r="A19" s="75"/>
      <c r="B19" s="88"/>
      <c r="D19" s="133" t="s">
        <v>137</v>
      </c>
      <c r="E19" s="88">
        <v>1200000</v>
      </c>
      <c r="G19" s="111"/>
      <c r="H19" s="87"/>
      <c r="J19" s="69"/>
      <c r="K19" s="70"/>
      <c r="M19" s="69"/>
      <c r="N19" s="70"/>
      <c r="P19" s="69"/>
      <c r="Q19" s="87"/>
      <c r="S19" s="151"/>
      <c r="T19" s="152"/>
    </row>
    <row r="20" spans="1:21" ht="18" customHeight="1" x14ac:dyDescent="0.25">
      <c r="A20" s="76"/>
      <c r="B20" s="89"/>
      <c r="D20" s="133" t="s">
        <v>142</v>
      </c>
      <c r="E20" s="88">
        <v>2579850</v>
      </c>
      <c r="G20" s="111"/>
      <c r="H20" s="87"/>
      <c r="J20" s="69"/>
      <c r="K20" s="70"/>
      <c r="M20" s="69"/>
      <c r="N20" s="70"/>
      <c r="P20" s="69"/>
      <c r="Q20" s="87"/>
      <c r="S20" s="151"/>
      <c r="T20" s="152"/>
    </row>
    <row r="21" spans="1:21" ht="18" customHeight="1" x14ac:dyDescent="0.25">
      <c r="A21" s="76"/>
      <c r="B21" s="89"/>
      <c r="D21" s="133" t="s">
        <v>143</v>
      </c>
      <c r="E21" s="88">
        <v>515970</v>
      </c>
      <c r="G21" s="111"/>
      <c r="H21" s="87"/>
      <c r="J21" s="69"/>
      <c r="K21" s="70"/>
      <c r="M21" s="69"/>
      <c r="N21" s="70"/>
      <c r="P21" s="69"/>
      <c r="Q21" s="87"/>
      <c r="S21" s="151"/>
      <c r="T21" s="152"/>
    </row>
    <row r="22" spans="1:21" ht="18" customHeight="1" x14ac:dyDescent="0.25">
      <c r="A22" s="76"/>
      <c r="B22" s="89"/>
      <c r="D22" s="133" t="s">
        <v>144</v>
      </c>
      <c r="E22" s="88">
        <v>2071290</v>
      </c>
      <c r="G22" s="111"/>
      <c r="H22" s="87"/>
      <c r="J22" s="69"/>
      <c r="K22" s="70"/>
      <c r="M22" s="69"/>
      <c r="N22" s="70"/>
      <c r="P22" s="69"/>
      <c r="Q22" s="87"/>
      <c r="S22" s="151"/>
      <c r="T22" s="152"/>
    </row>
    <row r="23" spans="1:21" ht="18" customHeight="1" x14ac:dyDescent="0.25">
      <c r="A23" s="76"/>
      <c r="B23" s="89"/>
      <c r="D23" s="110" t="s">
        <v>145</v>
      </c>
      <c r="E23" s="88">
        <v>1115310</v>
      </c>
      <c r="G23" s="111"/>
      <c r="H23" s="87"/>
      <c r="J23" s="69"/>
      <c r="K23" s="70"/>
      <c r="M23" s="69"/>
      <c r="N23" s="70"/>
      <c r="P23" s="69"/>
      <c r="Q23" s="87"/>
      <c r="S23" s="151"/>
      <c r="T23" s="152"/>
    </row>
    <row r="24" spans="1:21" ht="18.75" customHeight="1" x14ac:dyDescent="0.25">
      <c r="A24" s="76"/>
      <c r="B24" s="89"/>
      <c r="G24" s="111"/>
      <c r="H24" s="87"/>
      <c r="J24" s="69"/>
      <c r="K24" s="70"/>
      <c r="M24" s="69"/>
      <c r="N24" s="70"/>
      <c r="P24" s="69"/>
      <c r="Q24" s="87"/>
      <c r="S24" s="151"/>
      <c r="T24" s="152"/>
    </row>
    <row r="25" spans="1:21" ht="18.75" customHeight="1" x14ac:dyDescent="0.25">
      <c r="A25" s="76"/>
      <c r="B25" s="89"/>
      <c r="D25" s="114"/>
      <c r="E25" s="89"/>
      <c r="G25" s="111"/>
      <c r="H25" s="87"/>
      <c r="J25" s="69"/>
      <c r="K25" s="70"/>
      <c r="M25" s="69"/>
      <c r="N25" s="70"/>
      <c r="P25" s="69"/>
      <c r="Q25" s="87"/>
      <c r="S25" s="151"/>
      <c r="T25" s="152"/>
    </row>
    <row r="26" spans="1:21" ht="18.75" customHeight="1" x14ac:dyDescent="0.25">
      <c r="A26" s="76"/>
      <c r="B26" s="89"/>
      <c r="D26" s="110"/>
      <c r="E26" s="88"/>
      <c r="G26" s="114"/>
      <c r="H26" s="89"/>
      <c r="J26" s="76"/>
      <c r="K26" s="76"/>
      <c r="M26" s="67"/>
      <c r="N26" s="67"/>
      <c r="P26" s="76"/>
      <c r="Q26" s="89"/>
      <c r="S26" s="153"/>
      <c r="T26" s="154"/>
    </row>
    <row r="27" spans="1:21" ht="18" customHeight="1" x14ac:dyDescent="0.25">
      <c r="A27" s="76"/>
      <c r="B27" s="89"/>
      <c r="D27" s="111"/>
      <c r="E27" s="101"/>
      <c r="G27" s="114"/>
      <c r="H27" s="89"/>
      <c r="J27" s="69"/>
      <c r="K27" s="72"/>
      <c r="M27" s="69"/>
      <c r="N27" s="72"/>
      <c r="P27" s="69"/>
      <c r="Q27" s="101"/>
      <c r="S27" s="151"/>
      <c r="T27" s="155"/>
    </row>
    <row r="28" spans="1:21" ht="18" customHeight="1" x14ac:dyDescent="0.25">
      <c r="A28" s="76"/>
      <c r="B28" s="89"/>
      <c r="D28" s="110"/>
      <c r="E28" s="102"/>
      <c r="G28" s="114"/>
      <c r="H28" s="89"/>
      <c r="J28" s="67"/>
      <c r="K28" s="71"/>
      <c r="M28" s="67"/>
      <c r="N28" s="71"/>
      <c r="P28" s="67"/>
      <c r="Q28" s="102"/>
      <c r="S28" s="149"/>
      <c r="T28" s="156"/>
    </row>
    <row r="29" spans="1:21" ht="18" customHeight="1" x14ac:dyDescent="0.25">
      <c r="A29" s="73"/>
      <c r="B29" s="141"/>
      <c r="D29" s="115"/>
      <c r="E29" s="125"/>
      <c r="G29" s="115"/>
      <c r="H29" s="105"/>
      <c r="J29" s="73"/>
      <c r="K29" s="100"/>
      <c r="M29" s="73"/>
      <c r="N29" s="100"/>
      <c r="P29" s="73"/>
      <c r="Q29" s="103"/>
      <c r="S29" s="157"/>
      <c r="T29" s="158"/>
    </row>
    <row r="30" spans="1:21" ht="18" customHeight="1" x14ac:dyDescent="0.25">
      <c r="A30" s="74" t="s">
        <v>71</v>
      </c>
      <c r="B30" s="142">
        <f>+SUM(B3:B17)</f>
        <v>217324981</v>
      </c>
      <c r="D30" s="134" t="s">
        <v>113</v>
      </c>
      <c r="E30" s="126">
        <f>+SUM(E3:E26)</f>
        <v>32982310</v>
      </c>
      <c r="G30" s="116" t="s">
        <v>72</v>
      </c>
      <c r="H30" s="91">
        <f>+SUM(H3:H29)</f>
        <v>24729067</v>
      </c>
      <c r="J30" s="27" t="s">
        <v>72</v>
      </c>
      <c r="K30" s="28">
        <f>+SUM(K3:K29)</f>
        <v>11438356</v>
      </c>
      <c r="M30" s="27" t="s">
        <v>72</v>
      </c>
      <c r="N30" s="28">
        <f>+SUM(N3:N29)</f>
        <v>8946267</v>
      </c>
      <c r="P30" s="27" t="s">
        <v>72</v>
      </c>
      <c r="Q30" s="91">
        <f>+SUM(Q3:Q13)</f>
        <v>38644475</v>
      </c>
      <c r="S30" s="159" t="s">
        <v>72</v>
      </c>
      <c r="T30" s="160">
        <f>+SUM(T3:T13)</f>
        <v>28121677.899999999</v>
      </c>
    </row>
    <row r="31" spans="1:21" ht="18" customHeight="1" x14ac:dyDescent="0.25">
      <c r="S31" s="44"/>
      <c r="T31" s="83"/>
    </row>
    <row r="32" spans="1:21" ht="18" customHeight="1" x14ac:dyDescent="0.25">
      <c r="A32" s="201" t="s">
        <v>73</v>
      </c>
      <c r="B32" s="202"/>
      <c r="C32" s="29"/>
      <c r="D32" s="198" t="s">
        <v>114</v>
      </c>
      <c r="E32" s="203"/>
      <c r="F32" s="29"/>
      <c r="G32" s="30"/>
      <c r="H32" s="31"/>
      <c r="I32" s="29"/>
      <c r="J32" s="30"/>
      <c r="K32" s="31"/>
      <c r="L32" s="29"/>
      <c r="M32" s="30"/>
      <c r="N32" s="31"/>
      <c r="O32" s="29"/>
      <c r="P32" s="30"/>
      <c r="Q32" s="31"/>
      <c r="R32" s="29"/>
      <c r="S32" s="161"/>
      <c r="T32" s="162"/>
      <c r="U32" s="29"/>
    </row>
    <row r="33" spans="1:21" ht="18" customHeight="1" x14ac:dyDescent="0.25">
      <c r="A33" s="32" t="s">
        <v>30</v>
      </c>
      <c r="B33" s="127" t="s">
        <v>31</v>
      </c>
      <c r="C33" s="29"/>
      <c r="D33" s="135"/>
      <c r="E33" s="127"/>
      <c r="F33" s="29"/>
      <c r="G33" s="117" t="s">
        <v>10</v>
      </c>
      <c r="H33" s="106">
        <v>19300000</v>
      </c>
      <c r="I33" s="29"/>
      <c r="J33" s="33" t="s">
        <v>10</v>
      </c>
      <c r="K33" s="34">
        <f>+K30</f>
        <v>11438356</v>
      </c>
      <c r="L33" s="29"/>
      <c r="M33" s="33" t="s">
        <v>10</v>
      </c>
      <c r="N33" s="34">
        <f>+N30</f>
        <v>8946267</v>
      </c>
      <c r="O33" s="29"/>
      <c r="P33" s="33" t="s">
        <v>10</v>
      </c>
      <c r="Q33" s="92">
        <f>+Q30</f>
        <v>38644475</v>
      </c>
      <c r="R33" s="29"/>
      <c r="S33" s="163" t="s">
        <v>10</v>
      </c>
      <c r="T33" s="164">
        <f>+T30</f>
        <v>28121677.899999999</v>
      </c>
      <c r="U33" s="29"/>
    </row>
    <row r="34" spans="1:21" ht="18" customHeight="1" x14ac:dyDescent="0.25">
      <c r="A34" s="67" t="s">
        <v>44</v>
      </c>
      <c r="B34" s="88">
        <v>6896218</v>
      </c>
      <c r="D34" s="133"/>
      <c r="E34" s="86"/>
      <c r="S34" s="44"/>
      <c r="T34" s="83"/>
    </row>
    <row r="35" spans="1:21" ht="18" customHeight="1" x14ac:dyDescent="0.25">
      <c r="A35" s="11" t="s">
        <v>49</v>
      </c>
      <c r="B35" s="85">
        <v>1379244</v>
      </c>
      <c r="D35" s="136"/>
      <c r="E35" s="128"/>
      <c r="S35" s="44"/>
      <c r="T35" s="83"/>
    </row>
    <row r="36" spans="1:21" ht="18" customHeight="1" x14ac:dyDescent="0.25">
      <c r="A36" s="185" t="s">
        <v>146</v>
      </c>
      <c r="B36" s="88">
        <v>4651788</v>
      </c>
      <c r="D36" s="145"/>
      <c r="E36" s="146"/>
      <c r="S36" s="44"/>
      <c r="T36" s="83"/>
    </row>
    <row r="37" spans="1:21" ht="18" customHeight="1" x14ac:dyDescent="0.25">
      <c r="A37" s="67" t="s">
        <v>64</v>
      </c>
      <c r="B37" s="88">
        <v>20517357.899999999</v>
      </c>
      <c r="D37" s="147"/>
      <c r="E37" s="148"/>
      <c r="G37" s="204" t="s">
        <v>74</v>
      </c>
      <c r="H37" s="204"/>
      <c r="J37" s="204" t="s">
        <v>75</v>
      </c>
      <c r="K37" s="204"/>
      <c r="M37" s="204" t="s">
        <v>76</v>
      </c>
      <c r="N37" s="204"/>
      <c r="P37" s="204" t="s">
        <v>77</v>
      </c>
      <c r="Q37" s="204"/>
      <c r="S37" s="207" t="s">
        <v>149</v>
      </c>
      <c r="T37" s="208"/>
    </row>
    <row r="38" spans="1:21" ht="18" customHeight="1" x14ac:dyDescent="0.25">
      <c r="A38" s="76"/>
      <c r="B38" s="76"/>
      <c r="C38" s="83"/>
      <c r="D38" s="133"/>
      <c r="E38" s="86"/>
      <c r="G38" s="118" t="s">
        <v>30</v>
      </c>
      <c r="H38" s="93" t="s">
        <v>78</v>
      </c>
      <c r="J38" s="35" t="s">
        <v>30</v>
      </c>
      <c r="K38" s="35" t="s">
        <v>78</v>
      </c>
      <c r="M38" s="35" t="s">
        <v>30</v>
      </c>
      <c r="N38" s="35" t="s">
        <v>78</v>
      </c>
      <c r="P38" s="35" t="s">
        <v>30</v>
      </c>
      <c r="Q38" s="93" t="s">
        <v>78</v>
      </c>
      <c r="S38" s="165" t="s">
        <v>30</v>
      </c>
      <c r="T38" s="166" t="s">
        <v>78</v>
      </c>
    </row>
    <row r="39" spans="1:21" ht="18" customHeight="1" x14ac:dyDescent="0.25">
      <c r="A39" s="11"/>
      <c r="B39" s="85"/>
      <c r="D39" s="25"/>
      <c r="E39" s="26"/>
      <c r="G39" s="110" t="s">
        <v>79</v>
      </c>
      <c r="H39" s="88">
        <v>3250000</v>
      </c>
      <c r="J39" s="67" t="s">
        <v>66</v>
      </c>
      <c r="K39" s="71">
        <f>3780000*0.4</f>
        <v>1512000</v>
      </c>
      <c r="M39" s="67" t="s">
        <v>36</v>
      </c>
      <c r="N39" s="68">
        <v>2382300</v>
      </c>
      <c r="P39" s="67" t="s">
        <v>48</v>
      </c>
      <c r="Q39" s="88">
        <v>2589711</v>
      </c>
      <c r="S39" s="193" t="s">
        <v>67</v>
      </c>
      <c r="T39" s="194">
        <v>6796000</v>
      </c>
    </row>
    <row r="40" spans="1:21" ht="18" customHeight="1" x14ac:dyDescent="0.25">
      <c r="A40" s="36"/>
      <c r="B40" s="36"/>
      <c r="C40" s="29"/>
      <c r="D40" s="36"/>
      <c r="E40" s="36"/>
      <c r="F40" s="29"/>
      <c r="G40" s="110" t="s">
        <v>79</v>
      </c>
      <c r="H40" s="88">
        <v>3614124</v>
      </c>
      <c r="I40" s="29"/>
      <c r="J40" s="67" t="s">
        <v>51</v>
      </c>
      <c r="K40" s="68">
        <v>2064182</v>
      </c>
      <c r="L40" s="29"/>
      <c r="M40" s="67" t="s">
        <v>41</v>
      </c>
      <c r="N40" s="68">
        <v>1900000</v>
      </c>
      <c r="O40" s="29"/>
      <c r="P40" s="67" t="s">
        <v>52</v>
      </c>
      <c r="Q40" s="88">
        <v>2271300</v>
      </c>
      <c r="R40" s="29"/>
      <c r="S40" s="145" t="s">
        <v>64</v>
      </c>
      <c r="T40" s="146">
        <v>20517357.899999999</v>
      </c>
      <c r="U40" s="29"/>
    </row>
    <row r="41" spans="1:21" ht="18" customHeight="1" x14ac:dyDescent="0.25">
      <c r="A41" s="81" t="s">
        <v>148</v>
      </c>
      <c r="B41" s="129">
        <f>+SUM(B34:B39)</f>
        <v>33444607.899999999</v>
      </c>
      <c r="C41" s="29"/>
      <c r="D41" s="137" t="s">
        <v>80</v>
      </c>
      <c r="E41" s="129">
        <f>+E34+E35+E36</f>
        <v>0</v>
      </c>
      <c r="F41" s="29"/>
      <c r="G41" s="110" t="s">
        <v>81</v>
      </c>
      <c r="H41" s="88">
        <v>3750000</v>
      </c>
      <c r="I41" s="29"/>
      <c r="J41" s="67" t="s">
        <v>56</v>
      </c>
      <c r="K41" s="68">
        <v>357239</v>
      </c>
      <c r="L41" s="29"/>
      <c r="M41" s="67" t="s">
        <v>35</v>
      </c>
      <c r="N41" s="68">
        <v>563575</v>
      </c>
      <c r="O41" s="29"/>
      <c r="P41" s="67" t="s">
        <v>57</v>
      </c>
      <c r="Q41" s="88">
        <v>1525500</v>
      </c>
      <c r="R41" s="29"/>
      <c r="S41" s="195" t="s">
        <v>65</v>
      </c>
      <c r="T41" s="196">
        <v>3250062</v>
      </c>
      <c r="U41" s="29"/>
    </row>
    <row r="42" spans="1:21" ht="18" customHeight="1" x14ac:dyDescent="0.25">
      <c r="C42" s="29"/>
      <c r="F42" s="29"/>
      <c r="G42" s="110" t="s">
        <v>82</v>
      </c>
      <c r="H42" s="88">
        <v>555010</v>
      </c>
      <c r="I42" s="29"/>
      <c r="J42" s="67" t="s">
        <v>61</v>
      </c>
      <c r="K42" s="68">
        <v>2143435</v>
      </c>
      <c r="L42" s="29"/>
      <c r="M42" s="67" t="s">
        <v>37</v>
      </c>
      <c r="N42" s="68">
        <v>1700000</v>
      </c>
      <c r="O42" s="29"/>
      <c r="P42" s="67" t="s">
        <v>46</v>
      </c>
      <c r="Q42" s="88">
        <v>1079200</v>
      </c>
      <c r="R42" s="29"/>
      <c r="S42" s="191" t="s">
        <v>53</v>
      </c>
      <c r="T42" s="192">
        <v>5093043</v>
      </c>
      <c r="U42" s="29"/>
    </row>
    <row r="43" spans="1:21" ht="18" customHeight="1" x14ac:dyDescent="0.25">
      <c r="C43" s="29"/>
      <c r="F43" s="29"/>
      <c r="G43" s="110" t="s">
        <v>83</v>
      </c>
      <c r="H43" s="88">
        <v>357768</v>
      </c>
      <c r="I43" s="29"/>
      <c r="J43" s="67" t="s">
        <v>55</v>
      </c>
      <c r="K43" s="68">
        <v>4279875</v>
      </c>
      <c r="L43" s="29"/>
      <c r="M43" s="67" t="s">
        <v>42</v>
      </c>
      <c r="N43" s="68">
        <v>1512000</v>
      </c>
      <c r="O43" s="29"/>
      <c r="P43" s="67" t="s">
        <v>47</v>
      </c>
      <c r="Q43" s="88">
        <v>1300000</v>
      </c>
      <c r="R43" s="29"/>
      <c r="S43" s="191" t="s">
        <v>153</v>
      </c>
      <c r="T43" s="192">
        <v>2071290</v>
      </c>
      <c r="U43" s="29"/>
    </row>
    <row r="44" spans="1:21" ht="18" customHeight="1" x14ac:dyDescent="0.25">
      <c r="A44" s="197" t="s">
        <v>25</v>
      </c>
      <c r="B44" s="197"/>
      <c r="C44" s="29"/>
      <c r="D44" s="138" t="s">
        <v>86</v>
      </c>
      <c r="E44" s="130" t="s">
        <v>31</v>
      </c>
      <c r="F44" s="29"/>
      <c r="G44" s="110" t="s">
        <v>84</v>
      </c>
      <c r="H44" s="88">
        <v>595668</v>
      </c>
      <c r="I44" s="29"/>
      <c r="J44" s="67"/>
      <c r="K44" s="71"/>
      <c r="L44" s="29"/>
      <c r="M44" s="67" t="s">
        <v>62</v>
      </c>
      <c r="N44" s="68">
        <v>637467</v>
      </c>
      <c r="O44" s="29"/>
      <c r="P44" s="67" t="s">
        <v>43</v>
      </c>
      <c r="Q44" s="88">
        <v>756000</v>
      </c>
      <c r="R44" s="29"/>
      <c r="S44" s="69" t="s">
        <v>151</v>
      </c>
      <c r="T44" s="87">
        <v>601404</v>
      </c>
      <c r="U44" s="29"/>
    </row>
    <row r="45" spans="1:21" ht="18" customHeight="1" x14ac:dyDescent="0.25">
      <c r="A45" s="19" t="s">
        <v>30</v>
      </c>
      <c r="B45" s="124" t="s">
        <v>31</v>
      </c>
      <c r="C45" s="29"/>
      <c r="D45" s="113"/>
      <c r="E45" s="85"/>
      <c r="F45" s="29"/>
      <c r="G45" s="110" t="s">
        <v>85</v>
      </c>
      <c r="H45" s="88">
        <v>2382056</v>
      </c>
      <c r="I45" s="29"/>
      <c r="J45" s="67"/>
      <c r="K45" s="71"/>
      <c r="L45" s="29"/>
      <c r="M45" s="67"/>
      <c r="N45" s="67"/>
      <c r="O45" s="29"/>
      <c r="P45" s="67" t="s">
        <v>45</v>
      </c>
      <c r="Q45" s="88">
        <v>2600000</v>
      </c>
      <c r="R45" s="29"/>
      <c r="S45" s="69" t="s">
        <v>152</v>
      </c>
      <c r="T45" s="87">
        <v>1303042</v>
      </c>
      <c r="U45" s="29"/>
    </row>
    <row r="46" spans="1:21" ht="18" customHeight="1" x14ac:dyDescent="0.25">
      <c r="A46" s="67" t="s">
        <v>34</v>
      </c>
      <c r="B46" s="88">
        <v>7450000</v>
      </c>
      <c r="C46" s="29"/>
      <c r="D46" s="113"/>
      <c r="E46" s="85"/>
      <c r="F46" s="29"/>
      <c r="G46" s="110"/>
      <c r="H46" s="107"/>
      <c r="I46" s="29"/>
      <c r="J46" s="67"/>
      <c r="K46" s="71"/>
      <c r="L46" s="29"/>
      <c r="M46" s="67"/>
      <c r="N46" s="71"/>
      <c r="O46" s="29"/>
      <c r="P46" s="67" t="s">
        <v>58</v>
      </c>
      <c r="Q46" s="88">
        <v>3187338</v>
      </c>
      <c r="R46" s="29"/>
      <c r="S46" s="191" t="s">
        <v>157</v>
      </c>
      <c r="T46" s="192">
        <v>3137690</v>
      </c>
      <c r="U46" s="29"/>
    </row>
    <row r="47" spans="1:21" ht="18" customHeight="1" x14ac:dyDescent="0.25">
      <c r="A47" s="69" t="s">
        <v>39</v>
      </c>
      <c r="B47" s="87">
        <v>5600000</v>
      </c>
      <c r="C47" s="29"/>
      <c r="D47" s="113"/>
      <c r="E47" s="85"/>
      <c r="F47" s="29"/>
      <c r="G47" s="110"/>
      <c r="H47" s="107"/>
      <c r="I47" s="29"/>
      <c r="J47" s="67"/>
      <c r="K47" s="71"/>
      <c r="L47" s="29"/>
      <c r="M47" s="67"/>
      <c r="N47" s="71"/>
      <c r="O47" s="29"/>
      <c r="P47" s="67" t="s">
        <v>60</v>
      </c>
      <c r="Q47" s="88">
        <v>3250062</v>
      </c>
      <c r="R47" s="29"/>
      <c r="S47" s="69"/>
      <c r="T47" s="87"/>
      <c r="U47" s="29"/>
    </row>
    <row r="48" spans="1:21" ht="18" customHeight="1" x14ac:dyDescent="0.25">
      <c r="A48" s="67"/>
      <c r="B48" s="88"/>
      <c r="C48" s="29"/>
      <c r="D48" s="113"/>
      <c r="E48" s="90"/>
      <c r="F48" s="29"/>
      <c r="G48" s="110"/>
      <c r="H48" s="107"/>
      <c r="I48" s="29"/>
      <c r="J48" s="67"/>
      <c r="K48" s="71"/>
      <c r="L48" s="29"/>
      <c r="M48" s="67"/>
      <c r="N48" s="71"/>
      <c r="O48" s="29"/>
      <c r="P48" s="67" t="s">
        <v>38</v>
      </c>
      <c r="Q48" s="88">
        <v>11995200</v>
      </c>
      <c r="R48" s="29"/>
      <c r="S48" s="149"/>
      <c r="T48" s="150"/>
      <c r="U48" s="29"/>
    </row>
    <row r="49" spans="1:21" ht="18" customHeight="1" x14ac:dyDescent="0.25">
      <c r="A49" s="81" t="s">
        <v>115</v>
      </c>
      <c r="B49" s="129">
        <f>+SUM(B46:B47)</f>
        <v>13050000</v>
      </c>
      <c r="C49" s="29"/>
      <c r="D49" s="139" t="s">
        <v>117</v>
      </c>
      <c r="E49" s="131">
        <f>+SUM(E45:E47)</f>
        <v>0</v>
      </c>
      <c r="F49" s="29"/>
      <c r="G49" s="110"/>
      <c r="H49" s="107"/>
      <c r="I49" s="29"/>
      <c r="J49" s="67"/>
      <c r="K49" s="71"/>
      <c r="L49" s="29"/>
      <c r="M49" s="67"/>
      <c r="N49" s="67"/>
      <c r="O49" s="29"/>
      <c r="P49" s="69"/>
      <c r="Q49" s="87"/>
      <c r="R49" s="29"/>
      <c r="S49" s="149"/>
      <c r="T49" s="150"/>
      <c r="U49" s="29"/>
    </row>
    <row r="50" spans="1:21" ht="18" customHeight="1" x14ac:dyDescent="0.25">
      <c r="A50" s="77"/>
      <c r="B50" s="78"/>
      <c r="C50" s="29"/>
      <c r="F50" s="29"/>
      <c r="G50" s="110"/>
      <c r="H50" s="107"/>
      <c r="I50" s="29"/>
      <c r="J50" s="67"/>
      <c r="K50" s="71"/>
      <c r="L50" s="29"/>
      <c r="M50" s="67"/>
      <c r="N50" s="67"/>
      <c r="O50" s="29"/>
      <c r="P50" s="69"/>
      <c r="Q50" s="87"/>
      <c r="R50" s="29"/>
      <c r="S50" s="151"/>
      <c r="T50" s="152"/>
      <c r="U50" s="29"/>
    </row>
    <row r="51" spans="1:21" ht="18" customHeight="1" x14ac:dyDescent="0.25">
      <c r="A51" s="197" t="s">
        <v>90</v>
      </c>
      <c r="B51" s="197"/>
      <c r="C51" s="29"/>
      <c r="F51" s="29"/>
      <c r="G51" s="119" t="s">
        <v>87</v>
      </c>
      <c r="H51" s="94">
        <f>+SUM(H39:H45)</f>
        <v>14504626</v>
      </c>
      <c r="I51" s="29"/>
      <c r="J51" s="37" t="s">
        <v>87</v>
      </c>
      <c r="K51" s="38">
        <f>+K39+K40+K41+K42+K45</f>
        <v>6076856</v>
      </c>
      <c r="L51" s="29"/>
      <c r="M51" s="37" t="s">
        <v>87</v>
      </c>
      <c r="N51" s="38">
        <f>+N39+N40+N42+N43+N44</f>
        <v>8131767</v>
      </c>
      <c r="O51" s="29"/>
      <c r="P51" s="37" t="s">
        <v>87</v>
      </c>
      <c r="Q51" s="94">
        <f>+Q39+Q40+Q41+Q44+Q46+Q49+Q50</f>
        <v>10329849</v>
      </c>
      <c r="R51" s="29"/>
      <c r="S51" s="167" t="s">
        <v>87</v>
      </c>
      <c r="T51" s="168">
        <f>+T43+T46+T44+T45</f>
        <v>7113426</v>
      </c>
      <c r="U51" s="29"/>
    </row>
    <row r="52" spans="1:21" ht="18" customHeight="1" x14ac:dyDescent="0.25">
      <c r="A52" s="82" t="s">
        <v>116</v>
      </c>
      <c r="B52" s="97">
        <f>+B30+B41+B49</f>
        <v>263819588.90000001</v>
      </c>
      <c r="C52" s="39"/>
      <c r="F52" s="39"/>
      <c r="G52" s="120" t="s">
        <v>88</v>
      </c>
      <c r="H52" s="108">
        <v>0</v>
      </c>
      <c r="I52" s="39"/>
      <c r="J52" s="40" t="s">
        <v>88</v>
      </c>
      <c r="K52" s="41">
        <f>+K43+K44</f>
        <v>4279875</v>
      </c>
      <c r="L52" s="39"/>
      <c r="M52" s="40" t="s">
        <v>88</v>
      </c>
      <c r="N52" s="41">
        <f>+N41</f>
        <v>563575</v>
      </c>
      <c r="O52" s="39"/>
      <c r="P52" s="40" t="s">
        <v>88</v>
      </c>
      <c r="Q52" s="95">
        <f>+Q42+Q43+Q45+Q47+Q48</f>
        <v>20224462</v>
      </c>
      <c r="R52" s="39"/>
      <c r="S52" s="169" t="s">
        <v>88</v>
      </c>
      <c r="T52" s="170">
        <f>+T39+T40+T41+T42</f>
        <v>35656462.899999999</v>
      </c>
      <c r="U52" s="39"/>
    </row>
    <row r="53" spans="1:21" ht="18" hidden="1" customHeight="1" x14ac:dyDescent="0.25">
      <c r="A53" s="79"/>
      <c r="B53" s="80"/>
      <c r="C53" s="29"/>
      <c r="F53" s="29"/>
      <c r="I53" s="29"/>
      <c r="J53" s="30"/>
      <c r="K53" s="31"/>
      <c r="L53" s="29"/>
      <c r="M53" s="30"/>
      <c r="N53" s="31"/>
      <c r="O53" s="29"/>
      <c r="P53" s="30"/>
      <c r="Q53" s="31"/>
      <c r="R53" s="29"/>
      <c r="S53" s="161"/>
      <c r="T53" s="162"/>
      <c r="U53" s="29"/>
    </row>
    <row r="54" spans="1:21" ht="18" hidden="1" customHeight="1" x14ac:dyDescent="0.25">
      <c r="A54" s="79"/>
      <c r="B54" s="80"/>
      <c r="K54" s="42"/>
      <c r="N54" s="42"/>
      <c r="Q54" s="42"/>
      <c r="S54" s="44"/>
      <c r="T54" s="171"/>
    </row>
    <row r="55" spans="1:21" ht="18" customHeight="1" x14ac:dyDescent="0.25">
      <c r="A55" s="79"/>
      <c r="B55" s="80"/>
      <c r="G55" s="116" t="s">
        <v>89</v>
      </c>
      <c r="H55" s="91">
        <f>+SUM(H39:H49)</f>
        <v>14504626</v>
      </c>
      <c r="J55" s="27" t="s">
        <v>89</v>
      </c>
      <c r="K55" s="43">
        <f>+K51+K52</f>
        <v>10356731</v>
      </c>
      <c r="M55" s="27" t="s">
        <v>89</v>
      </c>
      <c r="N55" s="43">
        <f>+N51+N52</f>
        <v>8695342</v>
      </c>
      <c r="P55" s="27" t="s">
        <v>89</v>
      </c>
      <c r="Q55" s="96">
        <f>+Q51+Q52</f>
        <v>30554311</v>
      </c>
      <c r="S55" s="159" t="s">
        <v>89</v>
      </c>
      <c r="T55" s="172">
        <f>+T51+T52</f>
        <v>42769888.899999999</v>
      </c>
    </row>
    <row r="56" spans="1:21" ht="18" customHeight="1" x14ac:dyDescent="0.25">
      <c r="A56" s="79"/>
      <c r="B56" s="80"/>
      <c r="S56" s="44"/>
      <c r="T56" s="83"/>
    </row>
    <row r="57" spans="1:21" ht="18" customHeight="1" x14ac:dyDescent="0.25">
      <c r="A57" s="77"/>
      <c r="B57" s="77"/>
      <c r="G57" s="197" t="s">
        <v>90</v>
      </c>
      <c r="H57" s="197"/>
      <c r="J57" s="197" t="s">
        <v>90</v>
      </c>
      <c r="K57" s="197"/>
      <c r="M57" s="197" t="s">
        <v>90</v>
      </c>
      <c r="N57" s="197"/>
      <c r="P57" s="197" t="s">
        <v>90</v>
      </c>
      <c r="Q57" s="197"/>
      <c r="S57" s="209" t="s">
        <v>90</v>
      </c>
      <c r="T57" s="210"/>
    </row>
    <row r="58" spans="1:21" ht="18" hidden="1" customHeight="1" x14ac:dyDescent="0.25">
      <c r="G58" s="121" t="s">
        <v>91</v>
      </c>
      <c r="H58" s="97">
        <f>+H33</f>
        <v>19300000</v>
      </c>
      <c r="J58" s="21" t="s">
        <v>91</v>
      </c>
      <c r="K58" s="22">
        <f>+K33</f>
        <v>11438356</v>
      </c>
      <c r="M58" s="21" t="s">
        <v>91</v>
      </c>
      <c r="N58" s="22">
        <f>+N33</f>
        <v>8946267</v>
      </c>
      <c r="P58" s="21" t="s">
        <v>91</v>
      </c>
      <c r="Q58" s="97" t="e">
        <f>+Q3+Q4+Q5+Q6+Q8+#REF!</f>
        <v>#REF!</v>
      </c>
      <c r="S58" s="173" t="s">
        <v>91</v>
      </c>
      <c r="T58" s="174" t="e">
        <f>+T3+#REF!+#REF!+T4+T8+Q9</f>
        <v>#REF!</v>
      </c>
    </row>
    <row r="59" spans="1:21" ht="18" customHeight="1" x14ac:dyDescent="0.25">
      <c r="G59" s="122" t="s">
        <v>92</v>
      </c>
      <c r="H59" s="98">
        <f>+H51</f>
        <v>14504626</v>
      </c>
      <c r="J59" s="45" t="s">
        <v>92</v>
      </c>
      <c r="K59" s="46">
        <f>+K55</f>
        <v>10356731</v>
      </c>
      <c r="M59" s="45" t="s">
        <v>92</v>
      </c>
      <c r="N59" s="46">
        <f>+N55</f>
        <v>8695342</v>
      </c>
      <c r="P59" s="45" t="s">
        <v>92</v>
      </c>
      <c r="Q59" s="98">
        <f>+Q55</f>
        <v>30554311</v>
      </c>
      <c r="S59" s="175" t="s">
        <v>92</v>
      </c>
      <c r="T59" s="176">
        <f>+T55</f>
        <v>42769888.899999999</v>
      </c>
    </row>
    <row r="60" spans="1:21" ht="18" customHeight="1" thickBot="1" x14ac:dyDescent="0.3">
      <c r="G60" s="123" t="s">
        <v>93</v>
      </c>
      <c r="H60" s="99">
        <f>+H30</f>
        <v>24729067</v>
      </c>
      <c r="J60" s="23" t="s">
        <v>93</v>
      </c>
      <c r="K60" s="24">
        <f>+K30</f>
        <v>11438356</v>
      </c>
      <c r="M60" s="23" t="s">
        <v>93</v>
      </c>
      <c r="N60" s="24">
        <f>+N30</f>
        <v>8946267</v>
      </c>
      <c r="P60" s="23" t="s">
        <v>93</v>
      </c>
      <c r="Q60" s="99">
        <f>+Q30</f>
        <v>38644475</v>
      </c>
      <c r="S60" s="177" t="s">
        <v>93</v>
      </c>
      <c r="T60" s="178">
        <f>+T30</f>
        <v>28121677.899999999</v>
      </c>
    </row>
    <row r="65" spans="13:13" x14ac:dyDescent="0.25">
      <c r="M65" s="47"/>
    </row>
    <row r="75" spans="13:13" x14ac:dyDescent="0.25">
      <c r="M75" s="47"/>
    </row>
  </sheetData>
  <mergeCells count="21">
    <mergeCell ref="S1:T1"/>
    <mergeCell ref="S37:T37"/>
    <mergeCell ref="S57:T57"/>
    <mergeCell ref="P57:Q57"/>
    <mergeCell ref="P1:Q1"/>
    <mergeCell ref="P37:Q37"/>
    <mergeCell ref="A32:B32"/>
    <mergeCell ref="D32:E32"/>
    <mergeCell ref="G37:H37"/>
    <mergeCell ref="J37:K37"/>
    <mergeCell ref="M37:N37"/>
    <mergeCell ref="A1:B1"/>
    <mergeCell ref="D1:E1"/>
    <mergeCell ref="G1:H1"/>
    <mergeCell ref="J1:K1"/>
    <mergeCell ref="M1:N1"/>
    <mergeCell ref="A44:B44"/>
    <mergeCell ref="A51:B51"/>
    <mergeCell ref="G57:H57"/>
    <mergeCell ref="J57:K57"/>
    <mergeCell ref="M57:N57"/>
  </mergeCell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Normal="100" workbookViewId="0">
      <pane ySplit="3" topLeftCell="A4" activePane="bottomLeft" state="frozen"/>
      <selection pane="bottomLeft" activeCell="C29" sqref="C29"/>
    </sheetView>
  </sheetViews>
  <sheetFormatPr baseColWidth="10" defaultColWidth="10.5703125" defaultRowHeight="15" x14ac:dyDescent="0.25"/>
  <cols>
    <col min="1" max="1" width="14" customWidth="1"/>
    <col min="2" max="4" width="22" customWidth="1"/>
    <col min="5" max="5" width="16" customWidth="1"/>
  </cols>
  <sheetData>
    <row r="1" spans="1:5" ht="36" customHeight="1" x14ac:dyDescent="0.25">
      <c r="A1" s="222" t="s">
        <v>94</v>
      </c>
      <c r="B1" s="222"/>
      <c r="C1" s="222"/>
      <c r="D1" s="222"/>
      <c r="E1" s="222"/>
    </row>
    <row r="2" spans="1:5" ht="30" customHeight="1" x14ac:dyDescent="0.25">
      <c r="A2" s="48"/>
      <c r="B2" s="48"/>
      <c r="C2" s="48"/>
      <c r="D2" s="48"/>
    </row>
    <row r="3" spans="1:5" ht="27.75" customHeight="1" x14ac:dyDescent="0.25">
      <c r="A3" s="1" t="s">
        <v>95</v>
      </c>
      <c r="B3" s="49" t="s">
        <v>96</v>
      </c>
      <c r="C3" s="49" t="s">
        <v>97</v>
      </c>
      <c r="D3" s="49" t="s">
        <v>98</v>
      </c>
      <c r="E3" s="1" t="s">
        <v>99</v>
      </c>
    </row>
    <row r="4" spans="1:5" ht="19.5" customHeight="1" x14ac:dyDescent="0.25">
      <c r="A4" s="50" t="s">
        <v>16</v>
      </c>
      <c r="B4" s="51">
        <f>'CURSADO-INGRESADO Q4'!H58</f>
        <v>19300000</v>
      </c>
      <c r="C4" s="51">
        <f>'CURSADO-INGRESADO Q4'!H60</f>
        <v>24729067</v>
      </c>
      <c r="D4" s="51">
        <f>'CURSADO-INGRESADO Q4'!H59</f>
        <v>14504626</v>
      </c>
      <c r="E4" s="52">
        <f>IF(B4&gt;0,C4/B4,0)</f>
        <v>1.2812988082901555</v>
      </c>
    </row>
    <row r="5" spans="1:5" ht="19.5" customHeight="1" x14ac:dyDescent="0.25">
      <c r="A5" s="53" t="s">
        <v>18</v>
      </c>
      <c r="B5" s="54">
        <f>'CURSADO-INGRESADO Q4'!K58</f>
        <v>11438356</v>
      </c>
      <c r="C5" s="54">
        <f>'CURSADO-INGRESADO Q4'!K60</f>
        <v>11438356</v>
      </c>
      <c r="D5" s="54">
        <f>'CURSADO-INGRESADO Q4'!K59</f>
        <v>10356731</v>
      </c>
      <c r="E5" s="55">
        <f>IF(B5&gt;0,C5/B5,0)</f>
        <v>1</v>
      </c>
    </row>
    <row r="6" spans="1:5" ht="19.5" customHeight="1" x14ac:dyDescent="0.25">
      <c r="A6" s="50" t="s">
        <v>20</v>
      </c>
      <c r="B6" s="51">
        <f>'CURSADO-INGRESADO Q4'!N58</f>
        <v>8946267</v>
      </c>
      <c r="C6" s="51">
        <f>'CURSADO-INGRESADO Q4'!N60</f>
        <v>8946267</v>
      </c>
      <c r="D6" s="51">
        <f>'CURSADO-INGRESADO Q4'!N59</f>
        <v>8695342</v>
      </c>
      <c r="E6" s="52">
        <f>IF(B6&gt;0,C6/B6,0)</f>
        <v>1</v>
      </c>
    </row>
    <row r="7" spans="1:5" ht="19.5" customHeight="1" x14ac:dyDescent="0.25">
      <c r="A7" s="53" t="s">
        <v>22</v>
      </c>
      <c r="B7" s="54" t="e">
        <f>'CURSADO-INGRESADO Q4'!Q58</f>
        <v>#REF!</v>
      </c>
      <c r="C7" s="54">
        <f>'CURSADO-INGRESADO Q4'!Q60</f>
        <v>38644475</v>
      </c>
      <c r="D7" s="54">
        <f>'CURSADO-INGRESADO Q4'!Q59</f>
        <v>30554311</v>
      </c>
      <c r="E7" s="55" t="e">
        <f>IF(B7&gt;0,C7/B7,0)</f>
        <v>#REF!</v>
      </c>
    </row>
    <row r="8" spans="1:5" ht="19.5" customHeight="1" x14ac:dyDescent="0.25">
      <c r="A8" s="50" t="s">
        <v>100</v>
      </c>
      <c r="B8" s="51">
        <v>0</v>
      </c>
      <c r="C8" s="51">
        <v>0</v>
      </c>
      <c r="D8" s="51">
        <v>0</v>
      </c>
      <c r="E8" s="52">
        <v>0</v>
      </c>
    </row>
    <row r="9" spans="1:5" ht="19.5" customHeight="1" x14ac:dyDescent="0.25">
      <c r="A9" s="53" t="s">
        <v>101</v>
      </c>
      <c r="B9" s="54">
        <v>0</v>
      </c>
      <c r="C9" s="54">
        <v>0</v>
      </c>
      <c r="D9" s="54">
        <v>0</v>
      </c>
      <c r="E9" s="55">
        <v>0</v>
      </c>
    </row>
    <row r="10" spans="1:5" ht="21.75" customHeight="1" x14ac:dyDescent="0.25">
      <c r="A10" s="13" t="s">
        <v>24</v>
      </c>
      <c r="B10" s="56" t="e">
        <f>SUM(B4:B9)</f>
        <v>#REF!</v>
      </c>
      <c r="C10" s="56">
        <f>SUM(C4:C9)</f>
        <v>83758165</v>
      </c>
      <c r="D10" s="56">
        <f>SUM(D4:D9)</f>
        <v>64111010</v>
      </c>
      <c r="E10" s="15" t="e">
        <f>IF(B10&gt;0,C10/B10,0)</f>
        <v>#REF!</v>
      </c>
    </row>
    <row r="11" spans="1:5" ht="13.5" customHeight="1" x14ac:dyDescent="0.25">
      <c r="A11" s="48"/>
      <c r="B11" s="48"/>
      <c r="C11" s="48"/>
      <c r="D11" s="48"/>
    </row>
    <row r="12" spans="1:5" ht="25.5" customHeight="1" x14ac:dyDescent="0.25">
      <c r="A12" s="223" t="s">
        <v>102</v>
      </c>
      <c r="B12" s="223"/>
      <c r="C12" s="223"/>
      <c r="D12" s="223"/>
      <c r="E12" s="223"/>
    </row>
    <row r="13" spans="1:5" ht="16.5" customHeight="1" x14ac:dyDescent="0.25">
      <c r="A13" s="57" t="s">
        <v>103</v>
      </c>
      <c r="B13" s="58" t="s">
        <v>104</v>
      </c>
      <c r="C13" s="59"/>
      <c r="D13" s="59"/>
    </row>
    <row r="14" spans="1:5" ht="19.5" customHeight="1" x14ac:dyDescent="0.25">
      <c r="A14" s="60" t="s">
        <v>105</v>
      </c>
      <c r="B14" s="61">
        <f>'CURSADO-INGRESADO Q4'!B29</f>
        <v>0</v>
      </c>
      <c r="C14" s="59"/>
      <c r="D14" s="59"/>
    </row>
    <row r="15" spans="1:5" ht="19.5" customHeight="1" x14ac:dyDescent="0.25">
      <c r="A15" s="62" t="s">
        <v>106</v>
      </c>
      <c r="B15" s="63">
        <f>'CURSADO-INGRESADO Q4'!E29</f>
        <v>0</v>
      </c>
      <c r="C15" s="64"/>
      <c r="D15" s="64"/>
    </row>
    <row r="16" spans="1:5" ht="19.5" customHeight="1" x14ac:dyDescent="0.25">
      <c r="A16" s="60" t="s">
        <v>21</v>
      </c>
      <c r="B16" s="61">
        <f>'CURSADO-INGRESADO Q4'!E48</f>
        <v>0</v>
      </c>
      <c r="C16" s="59"/>
      <c r="D16" s="59"/>
    </row>
    <row r="17" spans="1:4" ht="19.5" customHeight="1" x14ac:dyDescent="0.25">
      <c r="A17" s="62" t="s">
        <v>107</v>
      </c>
      <c r="B17" s="65">
        <f>'CURSADO-INGRESADO Q4'!E41</f>
        <v>0</v>
      </c>
      <c r="C17" s="59"/>
      <c r="D17" s="59"/>
    </row>
    <row r="18" spans="1:4" x14ac:dyDescent="0.25">
      <c r="A18" s="48"/>
      <c r="B18" s="48"/>
      <c r="C18" s="48"/>
      <c r="D18" s="48"/>
    </row>
    <row r="19" spans="1:4" x14ac:dyDescent="0.25">
      <c r="A19" s="48"/>
      <c r="B19" s="48"/>
      <c r="C19" s="48"/>
      <c r="D19" s="48"/>
    </row>
    <row r="20" spans="1:4" x14ac:dyDescent="0.25">
      <c r="A20" s="48"/>
      <c r="B20" s="48"/>
      <c r="C20" s="48"/>
      <c r="D20" s="48"/>
    </row>
    <row r="21" spans="1:4" x14ac:dyDescent="0.25">
      <c r="A21" s="48"/>
      <c r="B21" s="48"/>
      <c r="C21" s="48"/>
      <c r="D21" s="48"/>
    </row>
    <row r="22" spans="1:4" x14ac:dyDescent="0.25">
      <c r="A22" s="48"/>
      <c r="B22" s="66"/>
      <c r="C22" s="48"/>
      <c r="D22" s="48"/>
    </row>
  </sheetData>
  <mergeCells count="2">
    <mergeCell ref="A1:E1"/>
    <mergeCell ref="A12:E1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D09F-C047-4E09-89DC-7A04BD68F3AA}">
  <dimension ref="B8:E17"/>
  <sheetViews>
    <sheetView workbookViewId="0">
      <selection activeCell="C11" sqref="C11:C12"/>
    </sheetView>
  </sheetViews>
  <sheetFormatPr baseColWidth="10" defaultRowHeight="15" x14ac:dyDescent="0.25"/>
  <cols>
    <col min="2" max="2" width="23.28515625" bestFit="1" customWidth="1"/>
    <col min="3" max="3" width="12" bestFit="1" customWidth="1"/>
  </cols>
  <sheetData>
    <row r="8" spans="2:5" x14ac:dyDescent="0.25">
      <c r="B8" t="s">
        <v>154</v>
      </c>
      <c r="C8" s="186">
        <f>2600000+2238354+1149309+1724196+1625571</f>
        <v>9337430</v>
      </c>
    </row>
    <row r="9" spans="2:5" x14ac:dyDescent="0.25">
      <c r="B9" t="s">
        <v>155</v>
      </c>
      <c r="C9" s="187">
        <f>16337579-C8</f>
        <v>7000149</v>
      </c>
    </row>
    <row r="11" spans="2:5" x14ac:dyDescent="0.25">
      <c r="B11" t="s">
        <v>156</v>
      </c>
      <c r="C11" s="186">
        <v>16337579</v>
      </c>
      <c r="E11">
        <v>100</v>
      </c>
    </row>
    <row r="12" spans="2:5" x14ac:dyDescent="0.25">
      <c r="C12" s="186">
        <v>7000149</v>
      </c>
    </row>
    <row r="15" spans="2:5" x14ac:dyDescent="0.25">
      <c r="C15" s="188">
        <v>0.43</v>
      </c>
    </row>
    <row r="17" spans="3:3" x14ac:dyDescent="0.25">
      <c r="C17" s="187">
        <f>+C8+850000+600000+2700000</f>
        <v>13487430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CURSADO-INGRESADO Q4</vt:lpstr>
      <vt:lpstr>RESUMEN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dc:description/>
  <cp:lastModifiedBy>Office</cp:lastModifiedBy>
  <cp:revision>1</cp:revision>
  <dcterms:created xsi:type="dcterms:W3CDTF">2026-02-05T13:55:02Z</dcterms:created>
  <dcterms:modified xsi:type="dcterms:W3CDTF">2026-05-20T18:53:59Z</dcterms:modified>
  <dc:language>en-US</dc:language>
</cp:coreProperties>
</file>